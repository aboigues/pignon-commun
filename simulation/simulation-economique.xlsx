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Cotisation" sheetId="3" state="visible" r:id="rId5"/>
    <sheet name="Fonds 10 ans" sheetId="4" state="visible" r:id="rId6"/>
    <sheet name="Scénarios" sheetId="5" state="visible" r:id="rId7"/>
    <sheet name="Sensibilité" sheetId="6" state="visible" r:id="rId8"/>
    <sheet name="Vacance prudente" sheetId="7" state="visible" r:id="rId9"/>
    <sheet name="Argumentaire" sheetId="8" state="visible" r:id="rId10"/>
    <sheet name="Acteurs" sheetId="9" state="visible" r:id="rId11"/>
  </sheets>
  <definedNames>
    <definedName function="false" hidden="true" localSheetId="8" name="_xlnm._FilterDatabase" vbProcedure="false">Acteurs!$A$4:$I$20</definedName>
    <definedName function="false" hidden="true" localSheetId="4" name="_xlnm._FilterDatabase" vbProcedure="false">Scénarios!$A$4:$U$41</definedName>
    <definedName function="false" hidden="false" name="assurance_franchise" vbProcedure="false">Hypothèses!$C$43</definedName>
    <definedName function="false" hidden="false" name="assurance_taux" vbProcedure="false">Hypothèses!$C$42</definedName>
    <definedName function="false" hidden="false" name="batterie_cout" vbProcedure="false">Hypothèses!$C$33</definedName>
    <definedName function="false" hidden="false" name="batterie_facteur" vbProcedure="false">Hypothèses!$C$35</definedName>
    <definedName function="false" hidden="false" name="batterie_remplacements" vbProcedure="false">Hypothèses!$C$34</definedName>
    <definedName function="false" hidden="false" name="capital_initial" vbProcedure="false">Hypothèses!$C$58</definedName>
    <definedName function="false" hidden="false" name="capteur_cout" vbProcedure="false">Hypothèses!$C$47</definedName>
    <definedName function="false" hidden="false" name="capteur_renouvellement" vbProcedure="false">Hypothèses!$C$48</definedName>
    <definedName function="false" hidden="false" name="cap_baisse" vbProcedure="false">Hypothèses!$C$57</definedName>
    <definedName function="false" hidden="false" name="cap_hausse" vbProcedure="false">Hypothèses!$C$56</definedName>
    <definedName function="false" hidden="false" name="casse_cout" vbProcedure="false">Hypothèses!$C$38</definedName>
    <definedName function="false" hidden="false" name="casse_facteur" vbProcedure="false">Hypothèses!$C$39</definedName>
    <definedName function="false" hidden="false" name="casse_intensif" vbProcedure="false">Hypothèses!$C$37</definedName>
    <definedName function="false" hidden="false" name="casse_leger" vbProcedure="false">Hypothèses!$C$36</definedName>
    <definedName function="false" hidden="false" name="churn" vbProcedure="false">Hypothèses!$C$10</definedName>
    <definedName function="false" hidden="false" name="cout_intensif" vbProcedure="false">Hypothèses!$C$16</definedName>
    <definedName function="false" hidden="false" name="cout_leger" vbProcedure="false">Hypothèses!$C$15</definedName>
    <definedName function="false" hidden="false" name="forfait_suivi" vbProcedure="false">Hypothèses!$C$25</definedName>
    <definedName function="false" hidden="false" name="forfait_vacant" vbProcedure="false">Hypothèses!$C$26</definedName>
    <definedName function="false" hidden="false" name="franchise_client_intensif" vbProcedure="false">Hypothèses!$C$45</definedName>
    <definedName function="false" hidden="false" name="franchise_client_leger" vbProcedure="false">Hypothèses!$C$44</definedName>
    <definedName function="false" hidden="false" name="fraude_part" vbProcedure="false">Hypothèses!$C$13</definedName>
    <definedName function="false" hidden="false" name="fraude_sous_declaration" vbProcedure="false">Hypothèses!$C$14</definedName>
    <definedName function="false" hidden="false" name="gestion_fixe" vbProcedure="false">Hypothèses!$C$52</definedName>
    <definedName function="false" hidden="false" name="gestion_taux" vbProcedure="false">Hypothèses!$C$51</definedName>
    <definedName function="false" hidden="false" name="h_1000km_intensif" vbProcedure="false">Hypothèses!$C$21</definedName>
    <definedName function="false" hidden="false" name="h_1000km_leger" vbProcedure="false">Hypothèses!$C$20</definedName>
    <definedName function="false" hidden="false" name="h_facteur" vbProcedure="false">Hypothèses!$C$22</definedName>
    <definedName function="false" hidden="false" name="impayes" vbProcedure="false">Hypothèses!$C$12</definedName>
    <definedName function="false" hidden="false" name="inflation" vbProcedure="false">Hypothèses!$C$54</definedName>
    <definedName function="false" hidden="false" name="km_intensif" vbProcedure="false">Hypothèses!$C$9</definedName>
    <definedName function="false" hidden="false" name="km_leger" vbProcedure="false">Hypothèses!$C$8</definedName>
    <definedName function="false" hidden="false" name="n_ateliers" vbProcedure="false">Hypothèses!$C$7</definedName>
    <definedName function="false" hidden="false" name="n_intensif" vbProcedure="false">Hypothèses!$C$6</definedName>
    <definedName function="false" hidden="false" name="n_leger" vbProcedure="false">Hypothèses!$C$5</definedName>
    <definedName function="false" hidden="false" name="page_intensif" vbProcedure="false">Hypothèses!$C$60</definedName>
    <definedName function="false" hidden="false" name="page_leger" vbProcedure="false">Hypothèses!$C$59</definedName>
    <definedName function="false" hidden="false" name="pieces_facteur" vbProcedure="false">Hypothèses!$C$32</definedName>
    <definedName function="false" hidden="false" name="pieces_km_intensif" vbProcedure="false">Hypothèses!$C$31</definedName>
    <definedName function="false" hidden="false" name="pieces_km_leger" vbProcedure="false">Hypothèses!$C$30</definedName>
    <definedName function="false" hidden="false" name="prime_fab" vbProcedure="false">Hypothèses!$C$29</definedName>
    <definedName function="false" hidden="false" name="prime_rep" vbProcedure="false">Hypothèses!$C$28</definedName>
    <definedName function="false" hidden="false" name="provision" vbProcedure="false">Hypothèses!$C$53</definedName>
    <definedName function="false" hidden="false" name="recond_intensif" vbProcedure="false">Hypothèses!$C$50</definedName>
    <definedName function="false" hidden="false" name="recond_leger" vbProcedure="false">Hypothèses!$C$49</definedName>
    <definedName function="false" hidden="false" name="recouvrement_franchise" vbProcedure="false">Hypothèses!$C$46</definedName>
    <definedName function="false" hidden="false" name="remplissage" vbProcedure="false">Hypothèses!$C$11</definedName>
    <definedName function="false" hidden="false" name="revision" vbProcedure="false">Hypothèses!$C$55</definedName>
    <definedName function="false" hidden="false" name="score_moyen" vbProcedure="false">Hypothèses!$C$27</definedName>
    <definedName function="false" hidden="false" name="taux_financement" vbProcedure="false">Hypothèses!$C$19</definedName>
    <definedName function="false" hidden="false" name="taux_horaire" vbProcedure="false">Hypothèses!$C$23</definedName>
    <definedName function="false" hidden="false" name="vieillissement" vbProcedure="false">Hypothèses!$C$24</definedName>
    <definedName function="false" hidden="false" name="vie_intensif" vbProcedure="false">Hypothèses!$C$18</definedName>
    <definedName function="false" hidden="false" name="vie_leger" vbProcedure="false">Hypothèses!$C$17</definedName>
    <definedName function="false" hidden="false" name="vol_intensif" vbProcedure="false">Hypothèses!$C$41</definedName>
    <definedName function="false" hidden="false" name="vol_leger" vbProcedure="false">Hypothèses!$C$40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Paramètre le plus influent de l'analyse de sensibilité. Prix publics des vélos-cargos électriques français : 3 500 à 7 000 €. Scénarios S09 et S10 : 2 800 €.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8" authorId="0">
      <text>
        <r>
          <rPr>
            <sz val="10"/>
            <rFont val="Arial"/>
            <family val="2"/>
          </rPr>
          <t xml:space="preserve">Estimation illustrative : vélo à 800 € sur 10 ans, entretien et antivol, environ 20 à 25 €/mois.</t>
        </r>
      </text>
    </comment>
    <comment ref="C19" authorId="0">
      <text>
        <r>
          <rPr>
            <sz val="10"/>
            <rFont val="Arial"/>
            <family val="2"/>
          </rPr>
          <t xml:space="preserve">Estimation illustrative : vélo-cargo de 3 500 à 7 000 €, batterie de 500 à 1 000 € tous les 4 à 5 ans, entretien professionnel et assurance, environ 100 à 120 €/mois.</t>
        </r>
      </text>
    </comment>
    <comment ref="D18" authorId="0">
      <text>
        <r>
          <rPr>
            <sz val="10"/>
            <rFont val="Arial"/>
            <family val="2"/>
          </rPr>
          <t xml:space="preserve">Véligo Location 2026, vélo mécanique (Île-de-France Mobilités).</t>
        </r>
      </text>
    </comment>
    <comment ref="D19" authorId="0">
      <text>
        <r>
          <rPr>
            <sz val="10"/>
            <rFont val="Arial"/>
            <family val="2"/>
          </rPr>
          <t xml:space="preserve">Véligo Location 2026, vélo-cargo : jusqu'à 88 €/mois, subventionné.</t>
        </r>
      </text>
    </comment>
  </commentList>
</comments>
</file>

<file path=xl/sharedStrings.xml><?xml version="1.0" encoding="utf-8"?>
<sst xmlns="http://schemas.openxmlformats.org/spreadsheetml/2006/main" count="776" uniqueCount="628">
  <si>
    <t xml:space="preserve">Pignon commun — simulation économique du fonds commun en location</t>
  </si>
  <si>
    <t xml:space="preserve">Classeur généré par simulation/export_excel.py à partir de simulation/simulation.py. Document de référence : docs/simulation-economique.md.</t>
  </si>
  <si>
    <t xml:space="preserve">Contenu</t>
  </si>
  <si>
    <t xml:space="preserve">Hypothèses — tous les paramètres du modèle, modifiables. Chaque valeur porte un nom (colonne F) utilisé dans les formules.</t>
  </si>
  <si>
    <t xml:space="preserve">Cotisation — coût annuel attendu par vélo et tarif de location, en formules : il se recalcule quand une hypothèse change.</t>
  </si>
  <si>
    <t xml:space="preserve">Fonds 10 ans — projection du fonds en valeur attendue (sans aléa), avec inflation et révision annuelle du tarif.</t>
  </si>
  <si>
    <t xml:space="preserve">Scénarios — résultats Monte-Carlo des 37 scénarios critiques (16 940 000 trajectoires de 10 ans  graine 2026).</t>
  </si>
  <si>
    <t xml:space="preserve">Sensibilité — classement des 22 paramètres selon leur influence sur la marge, et carte de la probabilité de ruine.</t>
  </si>
  <si>
    <t xml:space="preserve">Vacance prudente — effet d'un tarif calculé en supposant moins de vélos loués que prévu, face à plusieurs réalités.</t>
  </si>
  <si>
    <t xml:space="preserve">Argumentaire — comparaison avec l'achat, un loueur privé et une location publique, prix mensuels liés à la feuille Cotisation, faiblesses d'un loueur classique, raisons de choisir Pignon commun et objections.</t>
  </si>
  <si>
    <t xml:space="preserve">Acteurs — les acteurs à rencontrer, ce qu'il faut leur demander, l'argument à mettre en avant et des colonnes de suivi des contacts à remplir.</t>
  </si>
  <si>
    <t xml:space="preserve">Légende</t>
  </si>
  <si>
    <t xml:space="preserve">Texte bleu : valeur saisie, à modifier pour tester une hypothèse (feuille Hypothèses).</t>
  </si>
  <si>
    <t xml:space="preserve">Texte noir : formule calculée dans la feuille.</t>
  </si>
  <si>
    <t xml:space="preserve">Texte vert : formule qui reprend une valeur d'une autre feuille.</t>
  </si>
  <si>
    <t xml:space="preserve">Fond jaune : hypothèse clé, parmi les plus influentes selon l'analyse de sensibilité.</t>
  </si>
  <si>
    <t xml:space="preserve">Ce que ce classeur fait et ne fait pas</t>
  </si>
  <si>
    <t xml:space="preserve">Les feuilles Cotisation et Fonds 10 ans calculent des valeurs attendues : elles montrent l'effet moyen d'une hypothèse, pas le risque.</t>
  </si>
  <si>
    <t xml:space="preserve">Le risque (probabilité de ruine, capital requis, tarif d'équilibre) vient de la simulation Monte-Carlo en Python. Les feuilles Scénarios et Sensibilité en reprennent les résultats sous forme de valeurs : elles ne se recalculent pas dans Excel. Pour les mettre à jour : uv run simulation/simulation.py puis uv run simulation/export_excel.py.</t>
  </si>
  <si>
    <t xml:space="preserve">Hypothèse simplificatrice des feuilles en formules : le parc est à l'âge moyen de sa vie (pas de dynamique de cohortes) et le vol est assuré.</t>
  </si>
  <si>
    <t xml:space="preserve">Tous les montants sont illustratifs, sauf les kilométrages, les prix Véligo et les ordres de grandeur du vol et des batteries, sourcés dans la feuille Hypothèses.</t>
  </si>
  <si>
    <t xml:space="preserve">Hypothèses du modèle</t>
  </si>
  <si>
    <t xml:space="preserve">Modifier uniquement la colonne C (texte bleu). Les noms de la colonne F sont utilisés dans les formules des autres feuilles.</t>
  </si>
  <si>
    <t xml:space="preserve">Catégorie</t>
  </si>
  <si>
    <t xml:space="preserve">Paramètre</t>
  </si>
  <si>
    <t xml:space="preserve">Valeur</t>
  </si>
  <si>
    <t xml:space="preserve">Unité</t>
  </si>
  <si>
    <t xml:space="preserve">Source ou commentaire</t>
  </si>
  <si>
    <t xml:space="preserve">Nom</t>
  </si>
  <si>
    <t xml:space="preserve">Parc</t>
  </si>
  <si>
    <t xml:space="preserve">Vélos à usage léger (vélo classique)</t>
  </si>
  <si>
    <t xml:space="preserve">vélos</t>
  </si>
  <si>
    <t xml:space="preserve">Page, bloc « Passer à l'échelle »</t>
  </si>
  <si>
    <t xml:space="preserve">n_leger</t>
  </si>
  <si>
    <t xml:space="preserve">Vélos à usage intensif (vélo-cargo électrique)</t>
  </si>
  <si>
    <t xml:space="preserve">n_intensif</t>
  </si>
  <si>
    <t xml:space="preserve">Ateliers du réseau</t>
  </si>
  <si>
    <t xml:space="preserve">ateliers</t>
  </si>
  <si>
    <t xml:space="preserve">n_ateliers</t>
  </si>
  <si>
    <t xml:space="preserve">Usage</t>
  </si>
  <si>
    <t xml:space="preserve">Kilométrage annuel, usage léger</t>
  </si>
  <si>
    <t xml:space="preserve">km/an</t>
  </si>
  <si>
    <t xml:space="preserve">Ministère de la Transition écologique et FUB : 6 à 13 km domicile-travail × 200 jours</t>
  </si>
  <si>
    <t xml:space="preserve">km_leger</t>
  </si>
  <si>
    <t xml:space="preserve">Kilométrage annuel, usage intensif</t>
  </si>
  <si>
    <t xml:space="preserve">Observatoire des Boîtes à Vélo 2024 : 24 km par jour de tournée</t>
  </si>
  <si>
    <t xml:space="preserve">km_intensif</t>
  </si>
  <si>
    <t xml:space="preserve">Locataires qui partent chaque année</t>
  </si>
  <si>
    <t xml:space="preserve">part</t>
  </si>
  <si>
    <t xml:space="preserve">Hypothèse, à mesurer auprès de Véligo et Swapfiets</t>
  </si>
  <si>
    <t xml:space="preserve">churn</t>
  </si>
  <si>
    <t xml:space="preserve">Vélos vacants reloués dans l'année</t>
  </si>
  <si>
    <t xml:space="preserve">remplissage</t>
  </si>
  <si>
    <t xml:space="preserve">Impayés</t>
  </si>
  <si>
    <t xml:space="preserve">part des recettes</t>
  </si>
  <si>
    <t xml:space="preserve">Hypothèse</t>
  </si>
  <si>
    <t xml:space="preserve">impayes</t>
  </si>
  <si>
    <t xml:space="preserve">Usagers qui sous-déclarent leurs km</t>
  </si>
  <si>
    <t xml:space="preserve">fraude_part</t>
  </si>
  <si>
    <t xml:space="preserve">Kilomètres non déclarés par un fraudeur</t>
  </si>
  <si>
    <t xml:space="preserve">fraude_sous_declaration</t>
  </si>
  <si>
    <t xml:space="preserve">Vélos</t>
  </si>
  <si>
    <t xml:space="preserve">Coût de fabrication labellisé, vélo classique</t>
  </si>
  <si>
    <t xml:space="preserve">€</t>
  </si>
  <si>
    <t xml:space="preserve">Page, bloc « D'où vient la rente d'usage » (illustratif)</t>
  </si>
  <si>
    <t xml:space="preserve">cout_leger</t>
  </si>
  <si>
    <t xml:space="preserve">Coût de fabrication labellisé, vélo-cargo électrique</t>
  </si>
  <si>
    <t xml:space="preserve">Page (illustratif). Prix publics des cargos français : 3 500 à 7 000 € ; paramètre le plus influent</t>
  </si>
  <si>
    <t xml:space="preserve">cout_intensif</t>
  </si>
  <si>
    <t xml:space="preserve">Durée de vie garantie, vélo classique</t>
  </si>
  <si>
    <t xml:space="preserve">ans</t>
  </si>
  <si>
    <t xml:space="preserve">Page</t>
  </si>
  <si>
    <t xml:space="preserve">vie_leger</t>
  </si>
  <si>
    <t xml:space="preserve">Durée de vie garantie, vélo-cargo</t>
  </si>
  <si>
    <t xml:space="preserve">vie_intensif</t>
  </si>
  <si>
    <t xml:space="preserve">Taux de financement de la rente par le fabricant</t>
  </si>
  <si>
    <t xml:space="preserve">par an</t>
  </si>
  <si>
    <t xml:space="preserve">Page : 0 %. Scénario S11 : 5 %</t>
  </si>
  <si>
    <t xml:space="preserve">taux_financement</t>
  </si>
  <si>
    <t xml:space="preserve">Réparation</t>
  </si>
  <si>
    <t xml:space="preserve">Heures d'atelier par 1 000 km, usage léger</t>
  </si>
  <si>
    <t xml:space="preserve">h</t>
  </si>
  <si>
    <t xml:space="preserve">Page : 3,3 h pour 2 800 km</t>
  </si>
  <si>
    <t xml:space="preserve">h_1000km_leger</t>
  </si>
  <si>
    <t xml:space="preserve">Heures d'atelier par 1 000 km, usage intensif</t>
  </si>
  <si>
    <t xml:space="preserve">Page : 6,4 h pour 5 500 km</t>
  </si>
  <si>
    <t xml:space="preserve">h_1000km_intensif</t>
  </si>
  <si>
    <t xml:space="preserve">Multiplicateur des heures (erreur d'estimation)</t>
  </si>
  <si>
    <t xml:space="preserve">×</t>
  </si>
  <si>
    <t xml:space="preserve">1 = hypothèse de la page. Scénario S06 : 1,4</t>
  </si>
  <si>
    <t xml:space="preserve">h_facteur</t>
  </si>
  <si>
    <t xml:space="preserve">Taux horaire moyen (N1, N2, N3)</t>
  </si>
  <si>
    <t xml:space="preserve">€/h</t>
  </si>
  <si>
    <t xml:space="preserve">Référentiel réparateur : 42, 52 et 62 €/h</t>
  </si>
  <si>
    <t xml:space="preserve">taux_horaire</t>
  </si>
  <si>
    <t xml:space="preserve">Heures supplémentaires par année d'âge du vélo</t>
  </si>
  <si>
    <t xml:space="preserve">vieillissement</t>
  </si>
  <si>
    <t xml:space="preserve">Forfait de suivi par vélo loué</t>
  </si>
  <si>
    <t xml:space="preserve">€/an</t>
  </si>
  <si>
    <t xml:space="preserve">Référentiel réparateur : 10 €/mois</t>
  </si>
  <si>
    <t xml:space="preserve">forfait_suivi</t>
  </si>
  <si>
    <t xml:space="preserve">Forfait de suivi d'un vélo vacant (part du forfait)</t>
  </si>
  <si>
    <t xml:space="preserve">forfait_vacant</t>
  </si>
  <si>
    <t xml:space="preserve">Score de durabilité moyen du réseau</t>
  </si>
  <si>
    <t xml:space="preserve">sur 100</t>
  </si>
  <si>
    <t xml:space="preserve">Page (illustratif)</t>
  </si>
  <si>
    <t xml:space="preserve">score_moyen</t>
  </si>
  <si>
    <t xml:space="preserve">Prime réparateur : part du socle à score 100</t>
  </si>
  <si>
    <t xml:space="preserve">Référentiel réparateur</t>
  </si>
  <si>
    <t xml:space="preserve">prime_rep</t>
  </si>
  <si>
    <t xml:space="preserve">Prime fabricant : part de la rente à score 75</t>
  </si>
  <si>
    <t xml:space="preserve">Calée sur la page (7 € et 25 €)</t>
  </si>
  <si>
    <t xml:space="preserve">prime_fab</t>
  </si>
  <si>
    <t xml:space="preserve">Pièces</t>
  </si>
  <si>
    <t xml:space="preserve">Pièces d'usure, usage léger</t>
  </si>
  <si>
    <t xml:space="preserve">€/km</t>
  </si>
  <si>
    <t xml:space="preserve">Hypothèse : environ 70 €/an (chaîne, pneus, plaquettes)</t>
  </si>
  <si>
    <t xml:space="preserve">pieces_km_leger</t>
  </si>
  <si>
    <t xml:space="preserve">Pièces d'usure, vélo-cargo électrique</t>
  </si>
  <si>
    <t xml:space="preserve">Hypothèse : environ 250 €/an</t>
  </si>
  <si>
    <t xml:space="preserve">pieces_km_intensif</t>
  </si>
  <si>
    <t xml:space="preserve">Multiplicateur de la consommation de pièces</t>
  </si>
  <si>
    <t xml:space="preserve">Scénario S07 : 2</t>
  </si>
  <si>
    <t xml:space="preserve">pieces_facteur</t>
  </si>
  <si>
    <t xml:space="preserve">Batterie de remplacement</t>
  </si>
  <si>
    <t xml:space="preserve">500 à 1 000 € selon les sources ; environ 1 000 cycles</t>
  </si>
  <si>
    <t xml:space="preserve">batterie_cout</t>
  </si>
  <si>
    <t xml:space="preserve">Remplacements de batterie par vie de vélo-cargo</t>
  </si>
  <si>
    <t xml:space="preserve">nombre</t>
  </si>
  <si>
    <t xml:space="preserve">Somme des probabilités annuelles de simulation.py</t>
  </si>
  <si>
    <t xml:space="preserve">batterie_remplacements</t>
  </si>
  <si>
    <t xml:space="preserve">Multiplicateur de la fréquence de remplacement</t>
  </si>
  <si>
    <t xml:space="preserve">Scénario S08 : 2</t>
  </si>
  <si>
    <t xml:space="preserve">batterie_facteur</t>
  </si>
  <si>
    <t xml:space="preserve">Sinistres</t>
  </si>
  <si>
    <t xml:space="preserve">Casse prématurée par an, usage léger</t>
  </si>
  <si>
    <t xml:space="preserve">part des vélos loués</t>
  </si>
  <si>
    <t xml:space="preserve">casse_leger</t>
  </si>
  <si>
    <t xml:space="preserve">Casse prématurée par an, usage intensif</t>
  </si>
  <si>
    <t xml:space="preserve">casse_intensif</t>
  </si>
  <si>
    <t xml:space="preserve">Coût moyen d'une casse prématurée</t>
  </si>
  <si>
    <t xml:space="preserve">casse_cout</t>
  </si>
  <si>
    <t xml:space="preserve">Multiplicateur de la casse</t>
  </si>
  <si>
    <t xml:space="preserve">Scénarios S04 et S05</t>
  </si>
  <si>
    <t xml:space="preserve">casse_facteur</t>
  </si>
  <si>
    <t xml:space="preserve">Vol par an, vélo classique</t>
  </si>
  <si>
    <t xml:space="preserve">part du parc</t>
  </si>
  <si>
    <t xml:space="preserve">FUB : 350 000 à 580 000 vols par an en France</t>
  </si>
  <si>
    <t xml:space="preserve">vol_leger</t>
  </si>
  <si>
    <t xml:space="preserve">Vol par an, vélo-cargo électrique</t>
  </si>
  <si>
    <t xml:space="preserve">Jusqu'à 6 % des vélos électriques selon les estimations</t>
  </si>
  <si>
    <t xml:space="preserve">vol_intensif</t>
  </si>
  <si>
    <t xml:space="preserve">Prime d'assurance vol du parc</t>
  </si>
  <si>
    <t xml:space="preserve">part de la valeur</t>
  </si>
  <si>
    <t xml:space="preserve">Hypothèse, à demander à une mutuelle</t>
  </si>
  <si>
    <t xml:space="preserve">assurance_taux</t>
  </si>
  <si>
    <t xml:space="preserve">Franchise d'assurance par vol</t>
  </si>
  <si>
    <t xml:space="preserve">assurance_franchise</t>
  </si>
  <si>
    <t xml:space="preserve">Franchise refacturée au locataire, vélo classique</t>
  </si>
  <si>
    <t xml:space="preserve">franchise_client_leger</t>
  </si>
  <si>
    <t xml:space="preserve">Franchise refacturée au locataire, vélo-cargo</t>
  </si>
  <si>
    <t xml:space="preserve">franchise_client_intensif</t>
  </si>
  <si>
    <t xml:space="preserve">Part des franchises effectivement recouvrée</t>
  </si>
  <si>
    <t xml:space="preserve">recouvrement_franchise</t>
  </si>
  <si>
    <t xml:space="preserve">Capteur kilométrique d'un vélo mécanique</t>
  </si>
  <si>
    <t xml:space="preserve">Page, bloc 08 : 15 à 30 € (capteur Bluetooth scellé)</t>
  </si>
  <si>
    <t xml:space="preserve">capteur_cout</t>
  </si>
  <si>
    <t xml:space="preserve">Capteurs remplacés chaque année</t>
  </si>
  <si>
    <t xml:space="preserve">capteur_renouvellement</t>
  </si>
  <si>
    <t xml:space="preserve">Remise en état à la restitution, vélo classique</t>
  </si>
  <si>
    <t xml:space="preserve">recond_leger</t>
  </si>
  <si>
    <t xml:space="preserve">Remise en état à la restitution, vélo-cargo</t>
  </si>
  <si>
    <t xml:space="preserve">recond_intensif</t>
  </si>
  <si>
    <t xml:space="preserve">Gestion</t>
  </si>
  <si>
    <t xml:space="preserve">Chargement de gestion</t>
  </si>
  <si>
    <t xml:space="preserve">part des coûts</t>
  </si>
  <si>
    <t xml:space="preserve">gestion_taux</t>
  </si>
  <si>
    <t xml:space="preserve">Coûts de structure fixes en plus</t>
  </si>
  <si>
    <t xml:space="preserve">Scénario S22 : 180 000 €</t>
  </si>
  <si>
    <t xml:space="preserve">gestion_fixe</t>
  </si>
  <si>
    <t xml:space="preserve">Provision de sécurité</t>
  </si>
  <si>
    <t xml:space="preserve">provision</t>
  </si>
  <si>
    <t xml:space="preserve">Projection</t>
  </si>
  <si>
    <t xml:space="preserve">Inflation des coûts</t>
  </si>
  <si>
    <t xml:space="preserve">inflation</t>
  </si>
  <si>
    <t xml:space="preserve">Révision annuelle du tarif (1 = oui, 0 = non)</t>
  </si>
  <si>
    <t xml:space="preserve">0 ou 1</t>
  </si>
  <si>
    <t xml:space="preserve">Recommandation de la simulation : obligatoire</t>
  </si>
  <si>
    <t xml:space="preserve">revision</t>
  </si>
  <si>
    <t xml:space="preserve">Hausse maximale du tarif par an</t>
  </si>
  <si>
    <t xml:space="preserve">Hypothèse de gouvernance</t>
  </si>
  <si>
    <t xml:space="preserve">cap_hausse</t>
  </si>
  <si>
    <t xml:space="preserve">Baisse maximale du tarif par an</t>
  </si>
  <si>
    <t xml:space="preserve">cap_baisse</t>
  </si>
  <si>
    <t xml:space="preserve">Réserve de démarrage</t>
  </si>
  <si>
    <t xml:space="preserve">Recommandation : environ 205 € par vélo</t>
  </si>
  <si>
    <t xml:space="preserve">capital_initial</t>
  </si>
  <si>
    <t xml:space="preserve">Page initiale</t>
  </si>
  <si>
    <t xml:space="preserve">Cotisation annuelle affichée avant correction, usage léger</t>
  </si>
  <si>
    <t xml:space="preserve">Page avant le 2026-09-22</t>
  </si>
  <si>
    <t xml:space="preserve">page_leger</t>
  </si>
  <si>
    <t xml:space="preserve">Cotisation annuelle affichée avant correction, usage intensif</t>
  </si>
  <si>
    <t xml:space="preserve">page_intensif</t>
  </si>
  <si>
    <t xml:space="preserve">Coût par vélo et tarif de location</t>
  </si>
  <si>
    <t xml:space="preserve">Valeurs attendues en régime courant, calculées à partir de la feuille Hypothèses.</t>
  </si>
  <si>
    <t xml:space="preserve">Poste</t>
  </si>
  <si>
    <t xml:space="preserve">Usage léger</t>
  </si>
  <si>
    <t xml:space="preserve">Usage intensif</t>
  </si>
  <si>
    <t xml:space="preserve">Intermédiaires</t>
  </si>
  <si>
    <t xml:space="preserve">Occupation d'équilibre du parc</t>
  </si>
  <si>
    <t xml:space="preserve">Kilomètres par vélo du parc</t>
  </si>
  <si>
    <t xml:space="preserve">Âge moyen du parc</t>
  </si>
  <si>
    <t xml:space="preserve">Heures d'atelier par vélo du parc</t>
  </si>
  <si>
    <t xml:space="preserve">Coût annuel attendu par vélo du parc</t>
  </si>
  <si>
    <t xml:space="preserve">Forfait de suivi</t>
  </si>
  <si>
    <t xml:space="preserve">Main d'œuvre</t>
  </si>
  <si>
    <t xml:space="preserve">Prime de durabilité réparateur</t>
  </si>
  <si>
    <t xml:space="preserve">Pièces d'usure</t>
  </si>
  <si>
    <t xml:space="preserve">Batterie</t>
  </si>
  <si>
    <t xml:space="preserve">Rente d'usage fabricant</t>
  </si>
  <si>
    <t xml:space="preserve">Prime de durabilité fabricant</t>
  </si>
  <si>
    <t xml:space="preserve">Casse prématurée</t>
  </si>
  <si>
    <t xml:space="preserve">Vol : assurance et franchise, moins franchise refacturée</t>
  </si>
  <si>
    <t xml:space="preserve">Capteur kilométrique</t>
  </si>
  <si>
    <t xml:space="preserve">Remise en état entre deux locataires</t>
  </si>
  <si>
    <t xml:space="preserve">Coût par vélo du parc</t>
  </si>
  <si>
    <t xml:space="preserve">Tarif de location</t>
  </si>
  <si>
    <t xml:space="preserve">Part du coût liée aux kilomètres</t>
  </si>
  <si>
    <t xml:space="preserve">Part du coût fixe (+ structure fixe répartie)</t>
  </si>
  <si>
    <t xml:space="preserve">Coefficient gestion + provision</t>
  </si>
  <si>
    <t xml:space="preserve">Part fixe du tarif</t>
  </si>
  <si>
    <t xml:space="preserve">Part variable du tarif, par km déclaré</t>
  </si>
  <si>
    <t xml:space="preserve">Cotisation annuelle au kilométrage moyen</t>
  </si>
  <si>
    <t xml:space="preserve">Cotisation mensuelle</t>
  </si>
  <si>
    <t xml:space="preserve">Recettes attendues par vélo loué (impayés et fraude déduits)</t>
  </si>
  <si>
    <t xml:space="preserve">Comparaison</t>
  </si>
  <si>
    <t xml:space="preserve">Cotisation affichée sur la page initiale</t>
  </si>
  <si>
    <t xml:space="preserve">Écart avec la page initiale</t>
  </si>
  <si>
    <t xml:space="preserve">Projection du fonds commun sur 10 ans (valeurs attendues)</t>
  </si>
  <si>
    <t xml:space="preserve">Sans aléa : pour le risque, voir la feuille Scénarios. Le tarif de l'année N est révisé d'après le résultat de l'année N-1, dans la limite des plafonds, si la révision est activée.</t>
  </si>
  <si>
    <t xml:space="preserve">Année</t>
  </si>
  <si>
    <t xml:space="preserve">Indice d'inflation des coûts</t>
  </si>
  <si>
    <t xml:space="preserve">Coût du parc léger</t>
  </si>
  <si>
    <t xml:space="preserve">Coût du parc intensif</t>
  </si>
  <si>
    <t xml:space="preserve">Chargement de gestion (+ structure fixe)</t>
  </si>
  <si>
    <t xml:space="preserve">Coûts totaux</t>
  </si>
  <si>
    <t xml:space="preserve">Multiplicateur du tarif</t>
  </si>
  <si>
    <t xml:space="preserve">Recettes, parc léger</t>
  </si>
  <si>
    <t xml:space="preserve">Recettes, parc intensif</t>
  </si>
  <si>
    <t xml:space="preserve">Recettes totales</t>
  </si>
  <si>
    <t xml:space="preserve">Résultat de l'année</t>
  </si>
  <si>
    <t xml:space="preserve">Marge</t>
  </si>
  <si>
    <t xml:space="preserve">Réserve en fin d'année</t>
  </si>
  <si>
    <t xml:space="preserve">Cotisation mensuelle, usage léger</t>
  </si>
  <si>
    <t xml:space="preserve">Cotisation mensuelle, usage intensif</t>
  </si>
  <si>
    <t xml:space="preserve">Versements aux ateliers (forfait, main d'œuvre, prime), par atelier</t>
  </si>
  <si>
    <t xml:space="preserve">Versements aux fabricants (rente et prime)</t>
  </si>
  <si>
    <t xml:space="preserve">Réserve minimale sur 10 ans</t>
  </si>
  <si>
    <t xml:space="preserve">Marge cumulée sur 10 ans</t>
  </si>
  <si>
    <t xml:space="preserve">37 scénarios critiques — résultats Monte-Carlo</t>
  </si>
  <si>
    <t xml:space="preserve">Valeurs issues de simulation.py (16 940 000 trajectoires de 10 ans  graine 2026) : elles ne se recalculent pas dans Excel.</t>
  </si>
  <si>
    <t xml:space="preserve">Code</t>
  </si>
  <si>
    <t xml:space="preserve">Scénario</t>
  </si>
  <si>
    <t xml:space="preserve">Description</t>
  </si>
  <si>
    <t xml:space="preserve">Ruine sur 10 ans</t>
  </si>
  <si>
    <t xml:space="preserve">Ruine sur 3 ans</t>
  </si>
  <si>
    <t xml:space="preserve">Marge moyenne</t>
  </si>
  <si>
    <t xml:space="preserve">Capital requis (99 %)</t>
  </si>
  <si>
    <t xml:space="preserve">Capital requis par vélo</t>
  </si>
  <si>
    <t xml:space="preserve">Tarif d'équilibre (multiplicateur)</t>
  </si>
  <si>
    <t xml:space="preserve">Résultat annuel moyen</t>
  </si>
  <si>
    <t xml:space="preserve">Pire année (1 % des cas)</t>
  </si>
  <si>
    <t xml:space="preserve">Réserve finale médiane</t>
  </si>
  <si>
    <t xml:space="preserve">Réserve finale (5 % des cas)</t>
  </si>
  <si>
    <t xml:space="preserve">Occupation moyenne</t>
  </si>
  <si>
    <t xml:space="preserve">Léger an 1 (€/mois)</t>
  </si>
  <si>
    <t xml:space="preserve">Cargo an 1 (€/mois)</t>
  </si>
  <si>
    <t xml:space="preserve">Léger an 10, médiane (€/mois)</t>
  </si>
  <si>
    <t xml:space="preserve">Cargo an 10, médiane (€/mois)</t>
  </si>
  <si>
    <t xml:space="preserve">Cargo an 10, 95 % des cas (€/mois)</t>
  </si>
  <si>
    <t xml:space="preserve">Fonds collecté an 1</t>
  </si>
  <si>
    <t xml:space="preserve">Revenu par atelier an 1</t>
  </si>
  <si>
    <t xml:space="preserve">S00</t>
  </si>
  <si>
    <t xml:space="preserve">Contrôle : la page telle quelle</t>
  </si>
  <si>
    <t xml:space="preserve">Postes de la page seulement, parc toujours loué, tarif de la page.</t>
  </si>
  <si>
    <t xml:space="preserve">S01</t>
  </si>
  <si>
    <t xml:space="preserve">Location, tarif de la page</t>
  </si>
  <si>
    <t xml:space="preserve">Tous les coûts de la location, mais le tarif affiché sur la page, sans révision.</t>
  </si>
  <si>
    <t xml:space="preserve">S02</t>
  </si>
  <si>
    <t xml:space="preserve">Location, tarif recalculé (référence)</t>
  </si>
  <si>
    <t xml:space="preserve">Tarif recalculé sur tous les coûts de la location, révision annuelle plafonnée à ±10 %.</t>
  </si>
  <si>
    <t xml:space="preserve">S03</t>
  </si>
  <si>
    <t xml:space="preserve">Référence sans révision annuelle</t>
  </si>
  <si>
    <t xml:space="preserve">Même tarif de départ, jamais révisé pendant 10 ans (inflation 2 %).</t>
  </si>
  <si>
    <t xml:space="preserve">S04</t>
  </si>
  <si>
    <t xml:space="preserve">Casse prématurée ×2</t>
  </si>
  <si>
    <t xml:space="preserve">Deux fois plus de ruptures de cadre, moteur ou batterie que prévu.</t>
  </si>
  <si>
    <t xml:space="preserve">S05</t>
  </si>
  <si>
    <t xml:space="preserve">Casse prématurée ×3, coût ×2,25</t>
  </si>
  <si>
    <t xml:space="preserve">Trois fois plus de casse, à 900 € l'événement (cadre ou moteur de cargo).</t>
  </si>
  <si>
    <t xml:space="preserve">S06</t>
  </si>
  <si>
    <t xml:space="preserve">Main d'œuvre +40 %</t>
  </si>
  <si>
    <t xml:space="preserve">Les heures par 1 000 km sont sous-estimées de 40 %.</t>
  </si>
  <si>
    <t xml:space="preserve">S07</t>
  </si>
  <si>
    <t xml:space="preserve">Pièces ×2</t>
  </si>
  <si>
    <t xml:space="preserve">Pièces d'usure deux fois plus chères ou plus consommées que prévu.</t>
  </si>
  <si>
    <t xml:space="preserve">S08</t>
  </si>
  <si>
    <t xml:space="preserve">Batteries à durée courte</t>
  </si>
  <si>
    <t xml:space="preserve">Batteries remplacées deux fois plus souvent (vélos-cargos).</t>
  </si>
  <si>
    <t xml:space="preserve">S09</t>
  </si>
  <si>
    <t xml:space="preserve">Coût de fabrication réaliste, découvert après tarification</t>
  </si>
  <si>
    <t xml:space="preserve">Vélo-cargo électrique à 2 800 € et vélo classique à 600 €, tarif calé sur 1 170 € et 440 €.</t>
  </si>
  <si>
    <t xml:space="preserve">aucun</t>
  </si>
  <si>
    <t xml:space="preserve">S10</t>
  </si>
  <si>
    <t xml:space="preserve">Coût de fabrication réaliste, tarifé correctement</t>
  </si>
  <si>
    <t xml:space="preserve">Même coûts, mais connus au moment de fixer le tarif.</t>
  </si>
  <si>
    <t xml:space="preserve">S11</t>
  </si>
  <si>
    <t xml:space="preserve">Rente financée à 5 %</t>
  </si>
  <si>
    <t xml:space="preserve">Le fabricant fait payer le coût de l'argent avancé sur 8 à 10 ans.</t>
  </si>
  <si>
    <t xml:space="preserve">S12</t>
  </si>
  <si>
    <t xml:space="preserve">Faillites de fabricants en chaîne</t>
  </si>
  <si>
    <t xml:space="preserve">15 % de risque de faillite par fabricant et par an : plus de garantie, pièces orphelines.</t>
  </si>
  <si>
    <t xml:space="preserve">S13</t>
  </si>
  <si>
    <t xml:space="preserve">Défauts de série, faillites et vélos orphelins</t>
  </si>
  <si>
    <t xml:space="preserve">10 % de défaut de série et 10 % de faillite par fabricant et par an ; 15 % des vélos orphelins réformés chaque année.</t>
  </si>
  <si>
    <t xml:space="preserve">S14</t>
  </si>
  <si>
    <t xml:space="preserve">Vol élevé, assuré</t>
  </si>
  <si>
    <t xml:space="preserve">Vol à 4 % (classique) et 8 % (cargo électrique) par an, assurance à 5 % de la valeur.</t>
  </si>
  <si>
    <t xml:space="preserve">S15</t>
  </si>
  <si>
    <t xml:space="preserve">Vol élevé, non assuré</t>
  </si>
  <si>
    <t xml:space="preserve">Même vol, la SCIC s'auto-assure : la rente restante du vélo volé est soldée.</t>
  </si>
  <si>
    <t xml:space="preserve">S16</t>
  </si>
  <si>
    <t xml:space="preserve">Vacance forte</t>
  </si>
  <si>
    <t xml:space="preserve">40 % des locataires partent chaque année, un vélo vacant sur deux est reloué.</t>
  </si>
  <si>
    <t xml:space="preserve">S17</t>
  </si>
  <si>
    <t xml:space="preserve">Fraude kilométrique massive</t>
  </si>
  <si>
    <t xml:space="preserve">30 % des usagers sous-déclarent 40 % de leurs km.</t>
  </si>
  <si>
    <t xml:space="preserve">S18</t>
  </si>
  <si>
    <t xml:space="preserve">Usage réel +30 % de km</t>
  </si>
  <si>
    <t xml:space="preserve">Les vélos roulent 30 % de plus que prévu (usure et km déclarés).</t>
  </si>
  <si>
    <t xml:space="preserve">S19</t>
  </si>
  <si>
    <t xml:space="preserve">Impayés à 8 %</t>
  </si>
  <si>
    <t xml:space="preserve">Défauts de paiement quatre fois plus élevés.</t>
  </si>
  <si>
    <t xml:space="preserve">S20</t>
  </si>
  <si>
    <t xml:space="preserve">Inflation 5 % sans révision</t>
  </si>
  <si>
    <t xml:space="preserve">Inflation des coûts de 5 % par an, tarif figé.</t>
  </si>
  <si>
    <t xml:space="preserve">S21</t>
  </si>
  <si>
    <t xml:space="preserve">Primes au plafond</t>
  </si>
  <si>
    <t xml:space="preserve">Score moyen de 95 : les primes de durabilité coûtent plus que prévu.</t>
  </si>
  <si>
    <t xml:space="preserve">S22</t>
  </si>
  <si>
    <t xml:space="preserve">Coûts de gestion fixes réalistes</t>
  </si>
  <si>
    <t xml:space="preserve">180 000 €/an de structure (2 ETP, registre, comité) au lieu de 6 %.</t>
  </si>
  <si>
    <t xml:space="preserve">S23</t>
  </si>
  <si>
    <t xml:space="preserve">Tarif unique + élasticité (spirale)</t>
  </si>
  <si>
    <t xml:space="preserve">Pas de segmentation : les usagers légers paient pour les intensifs et partent.</t>
  </si>
  <si>
    <t xml:space="preserve">S24</t>
  </si>
  <si>
    <t xml:space="preserve">Pilote 200 vélos, 2 fabricants</t>
  </si>
  <si>
    <t xml:space="preserve">Petit pool : 120 légers, 80 cargos, 2 fabricants, 4 ateliers.</t>
  </si>
  <si>
    <t xml:space="preserve">S25</t>
  </si>
  <si>
    <t xml:space="preserve">Pilote 200 vélos, 2 fabricants, faillites</t>
  </si>
  <si>
    <t xml:space="preserve">Petit pool avec 10 % de faillite annuelle par fabricant.</t>
  </si>
  <si>
    <t xml:space="preserve">S26</t>
  </si>
  <si>
    <t xml:space="preserve">Grande échelle : 20 000 vélos</t>
  </si>
  <si>
    <t xml:space="preserve">Dix fois le parc de la page, 20 fabricants, 400 ateliers.</t>
  </si>
  <si>
    <t xml:space="preserve">S27</t>
  </si>
  <si>
    <t xml:space="preserve">Tempête modérée</t>
  </si>
  <si>
    <t xml:space="preserve">Casse ×1,5, MO +20 %, vol 3 à 6 %, vacance forte, faillites 8 %, impayés 4 %.</t>
  </si>
  <si>
    <t xml:space="preserve">S28</t>
  </si>
  <si>
    <t xml:space="preserve">Tempête sévère</t>
  </si>
  <si>
    <t xml:space="preserve">Tout ce qui peut mal tourner en même temps, vol non assuré et inflation 4 %.</t>
  </si>
  <si>
    <t xml:space="preserve">S29</t>
  </si>
  <si>
    <t xml:space="preserve">Tempête modérée, tarifée à l'avance</t>
  </si>
  <si>
    <t xml:space="preserve">La tempête modérée, mais connue au moment de tarifer.</t>
  </si>
  <si>
    <t xml:space="preserve">S30</t>
  </si>
  <si>
    <t xml:space="preserve">Coût de fabrication réaliste, usagers captifs</t>
  </si>
  <si>
    <t xml:space="preserve">Comme S10, mais les usagers (flottes pro) ne partent pas quand le prix monte.</t>
  </si>
  <si>
    <t xml:space="preserve">S31</t>
  </si>
  <si>
    <t xml:space="preserve">Tempête sévère, tarifée à l'avance, usagers captifs</t>
  </si>
  <si>
    <t xml:space="preserve">Le pire cas connu d'avance, sans départ des usagers : le prix nécessaire.</t>
  </si>
  <si>
    <t xml:space="preserve">S32</t>
  </si>
  <si>
    <t xml:space="preserve">Tarif prudent (80 % d'occupation), réalité conforme</t>
  </si>
  <si>
    <t xml:space="preserve">Tarif calculé en supposant 80 % du parc loué au lieu de 94 % ; la réalité suit les hypothèses de référence.</t>
  </si>
  <si>
    <t xml:space="preserve">S33</t>
  </si>
  <si>
    <t xml:space="preserve">Tarif prudent (80 %), vacance forte</t>
  </si>
  <si>
    <t xml:space="preserve">Tarif prudent face à la vacance forte de S16.</t>
  </si>
  <si>
    <t xml:space="preserve">S34</t>
  </si>
  <si>
    <t xml:space="preserve">Tarif prudent (80 %), tempête modérée</t>
  </si>
  <si>
    <t xml:space="preserve">Tarif prudent face à la tempête modérée de S27.</t>
  </si>
  <si>
    <t xml:space="preserve">S35</t>
  </si>
  <si>
    <t xml:space="preserve">Tarif prudent (80 %), pièces ×2</t>
  </si>
  <si>
    <t xml:space="preserve">Tarif prudent face aux pièces sous-estimées de S07.</t>
  </si>
  <si>
    <t xml:space="preserve">S36</t>
  </si>
  <si>
    <t xml:space="preserve">Tarif très prudent (70 %), tempête modérée</t>
  </si>
  <si>
    <t xml:space="preserve">Tarif calculé en supposant 70 % du parc loué, face à la tempête modérée.</t>
  </si>
  <si>
    <t xml:space="preserve">Tarif d'équilibre : plus petit multiplicateur du tarif de départ qui garde la ruine sous 1 % ; « aucun » quand les usagers partent plus vite que le prix ne monte.</t>
  </si>
  <si>
    <t xml:space="preserve">Ruine : la réserve devient négative au moins une fois, sans capital de départ. Capital requis : capital de départ qui évite la ruine dans 99 % des trajectoires.</t>
  </si>
  <si>
    <t xml:space="preserve">Analyse de sensibilité globale</t>
  </si>
  <si>
    <t xml:space="preserve">5 000 jeux de paramètres tirés en hypercube latin × 200 trajectoires  tarif de référence et révision annuelle. Valeurs issues de simulation.py.</t>
  </si>
  <si>
    <t xml:space="preserve">Probabilité de ruine moyenne sur l'espace exploré</t>
  </si>
  <si>
    <t xml:space="preserve">Jeux dont la ruine dépasse 5 %</t>
  </si>
  <si>
    <t xml:space="preserve">Jeux dont la ruine dépasse 50 %</t>
  </si>
  <si>
    <t xml:space="preserve">Marge médiane</t>
  </si>
  <si>
    <t xml:space="preserve">Capital requis (99 %), médiane des jeux</t>
  </si>
  <si>
    <t xml:space="preserve">Capital requis (99 %), 90e centile des jeux</t>
  </si>
  <si>
    <t xml:space="preserve">Rang</t>
  </si>
  <si>
    <t xml:space="preserve">Minimum exploré</t>
  </si>
  <si>
    <t xml:space="preserve">Maximum exploré</t>
  </si>
  <si>
    <t xml:space="preserve">Corrélation de rang avec la marge</t>
  </si>
  <si>
    <t xml:space="preserve">Ruine, quintile bas</t>
  </si>
  <si>
    <t xml:space="preserve">Ruine, quintile haut</t>
  </si>
  <si>
    <t xml:space="preserve">Coût de fabrication, vélo-cargo (€)</t>
  </si>
  <si>
    <t xml:space="preserve">Consommation de pièces (multiplicateur)</t>
  </si>
  <si>
    <t xml:space="preserve">Heures de main d'œuvre (multiplicateur)</t>
  </si>
  <si>
    <t xml:space="preserve">Relocation des vélos vacants</t>
  </si>
  <si>
    <t xml:space="preserve">Inflation</t>
  </si>
  <si>
    <t xml:space="preserve">Départs de locataires par an</t>
  </si>
  <si>
    <t xml:space="preserve">Coûts de structure fixes (€/an)</t>
  </si>
  <si>
    <t xml:space="preserve">Taux horaire moyen (€)</t>
  </si>
  <si>
    <t xml:space="preserve">Kilométrage (multiplicateur)</t>
  </si>
  <si>
    <t xml:space="preserve">Vieillissement (heures par année d'âge)</t>
  </si>
  <si>
    <t xml:space="preserve">Taux de financement de la rente</t>
  </si>
  <si>
    <t xml:space="preserve">Remplacement des batteries (multiplicateur)</t>
  </si>
  <si>
    <t xml:space="preserve">Part de fraudeurs</t>
  </si>
  <si>
    <t xml:space="preserve">Coût de fabrication, vélo classique (€)</t>
  </si>
  <si>
    <t xml:space="preserve">Réforme des vélos orphelins (par an)</t>
  </si>
  <si>
    <t xml:space="preserve">Score moyen (primes)</t>
  </si>
  <si>
    <t xml:space="preserve">Faillite (par fabricant et par an)</t>
  </si>
  <si>
    <t xml:space="preserve">Casse prématurée (multiplicateur)</t>
  </si>
  <si>
    <t xml:space="preserve">Vol, vélo-cargo</t>
  </si>
  <si>
    <t xml:space="preserve">Vol, vélo classique</t>
  </si>
  <si>
    <t xml:space="preserve">Défauts de série (par fabricant et par an)</t>
  </si>
  <si>
    <t xml:space="preserve">Probabilité de ruine selon les deux paramètres les plus influents</t>
  </si>
  <si>
    <t xml:space="preserve">Lignes : Coût de fabrication, vélo-cargo (€) ; colonnes : Consommation de pièces (multiplicateur)</t>
  </si>
  <si>
    <t xml:space="preserve">0,50 à 0,80</t>
  </si>
  <si>
    <t xml:space="preserve">0,80 à 1,10</t>
  </si>
  <si>
    <t xml:space="preserve">1,10 à 1,40</t>
  </si>
  <si>
    <t xml:space="preserve">1,40 à 1,70</t>
  </si>
  <si>
    <t xml:space="preserve">1 000 à 1 500</t>
  </si>
  <si>
    <t xml:space="preserve">1 500 à 2 000</t>
  </si>
  <si>
    <t xml:space="preserve">2 000 à 2 500</t>
  </si>
  <si>
    <t xml:space="preserve">2 500 à 3 000</t>
  </si>
  <si>
    <t xml:space="preserve">Tarifer avec une vacance prudente</t>
  </si>
  <si>
    <t xml:space="preserve">Le tarif de départ est calculé en supposant un taux d'occupation plus bas que l'équilibre (94 %). La réalité est ensuite tirée au sort selon cinq situations. Valeurs issues de simulation.py.</t>
  </si>
  <si>
    <t xml:space="preserve">Usagers sensibles au prix (élasticité 1)</t>
  </si>
  <si>
    <t xml:space="preserve">Occupation supposée</t>
  </si>
  <si>
    <t xml:space="preserve">Léger (€/mois)</t>
  </si>
  <si>
    <t xml:space="preserve">Cargo (€/mois)</t>
  </si>
  <si>
    <t xml:space="preserve">Ruine — Réalité conforme</t>
  </si>
  <si>
    <t xml:space="preserve">Ruine — Vacance forte (S16)</t>
  </si>
  <si>
    <t xml:space="preserve">Ruine — Tempête modérée (S27)</t>
  </si>
  <si>
    <t xml:space="preserve">Ruine — Pièces ×2 (S07)</t>
  </si>
  <si>
    <t xml:space="preserve">Ruine — Main d'œuvre +40 % (S06)</t>
  </si>
  <si>
    <t xml:space="preserve">Occupation réelle — Réalité conforme</t>
  </si>
  <si>
    <t xml:space="preserve">Occupation réelle — Vacance forte (S16)</t>
  </si>
  <si>
    <t xml:space="preserve">Occupation réelle — Tempête modérée (S27)</t>
  </si>
  <si>
    <t xml:space="preserve">Occupation réelle — Pièces ×2 (S07)</t>
  </si>
  <si>
    <t xml:space="preserve">Occupation réelle — Main d'œuvre +40 % (S06)</t>
  </si>
  <si>
    <t xml:space="preserve">94 % (référence)</t>
  </si>
  <si>
    <t xml:space="preserve">88 %</t>
  </si>
  <si>
    <t xml:space="preserve">80 %</t>
  </si>
  <si>
    <t xml:space="preserve">70 %</t>
  </si>
  <si>
    <t xml:space="preserve">Usagers captifs (élasticité 0)</t>
  </si>
  <si>
    <t xml:space="preserve">Lecture : supposer 80 % d'occupation au lieu de 94 % relève les prix d'environ 5 % et réduit fortement le risque dans les tempêtes ; la révision annuelle fait ensuite redescendre le tarif si la vacance ne se produit pas.</t>
  </si>
  <si>
    <t xml:space="preserve">Pourquoi louer à Pignon commun plutôt qu'ailleurs</t>
  </si>
  <si>
    <t xml:space="preserve">Arguments de la page de présentation et du registre des acteurs (docs/acteurs.md). Les prix Pignon commun sont liés à la feuille Cotisation.</t>
  </si>
  <si>
    <t xml:space="preserve">Comparaison avec les autres solutions</t>
  </si>
  <si>
    <t xml:space="preserve">Critère</t>
  </si>
  <si>
    <t xml:space="preserve">Pignon commun</t>
  </si>
  <si>
    <t xml:space="preserve">Acheter son vélo</t>
  </si>
  <si>
    <t xml:space="preserve">Loueur privé par abonnement</t>
  </si>
  <si>
    <t xml:space="preserve">Location publique (type Véligo)</t>
  </si>
  <si>
    <t xml:space="preserve">Propriétaire du vélo</t>
  </si>
  <si>
    <t xml:space="preserve">La coopérative, dont l'usager est sociétaire</t>
  </si>
  <si>
    <t xml:space="preserve">L'usager</t>
  </si>
  <si>
    <t xml:space="preserve">L'entreprise de location</t>
  </si>
  <si>
    <t xml:space="preserve">La collectivité, via un exploitant</t>
  </si>
  <si>
    <t xml:space="preserve">Ce que paie l'usager</t>
  </si>
  <si>
    <t xml:space="preserve">Une part fixe et une part au kilomètre : l'usure qu'il cause</t>
  </si>
  <si>
    <t xml:space="preserve">Le vélo d'avance, puis chaque réparation</t>
  </si>
  <si>
    <t xml:space="preserve">Un forfait mensuel</t>
  </si>
  <si>
    <t xml:space="preserve">Un forfait mensuel subventionné</t>
  </si>
  <si>
    <t xml:space="preserve">Durée</t>
  </si>
  <si>
    <t xml:space="preserve">Engagement minimal de 12 à 24 mois, puis sans limite</t>
  </si>
  <si>
    <t xml:space="preserve">Sans limite</t>
  </si>
  <si>
    <t xml:space="preserve">Selon l'offre</t>
  </si>
  <si>
    <t xml:space="preserve">3 à 12 mois</t>
  </si>
  <si>
    <t xml:space="preserve">Le fabricant est payé</t>
  </si>
  <si>
    <t xml:space="preserve">Par une rente sur la durée de vie, avec une prime s'il dure</t>
  </si>
  <si>
    <t xml:space="preserve">À la vente</t>
  </si>
  <si>
    <t xml:space="preserve">À la vente de la flotte au loueur</t>
  </si>
  <si>
    <t xml:space="preserve">À la vente de la flotte</t>
  </si>
  <si>
    <t xml:space="preserve">Le réparateur est payé</t>
  </si>
  <si>
    <t xml:space="preserve">Forfait de suivi et prime de durabilité, jamais de marge sur les pièces</t>
  </si>
  <si>
    <t xml:space="preserve">À chaque intervention</t>
  </si>
  <si>
    <t xml:space="preserve">Par le loueur, selon son organisation</t>
  </si>
  <si>
    <t xml:space="preserve">Par l'exploitant</t>
  </si>
  <si>
    <t xml:space="preserve">Qui fixe le prix</t>
  </si>
  <si>
    <t xml:space="preserve">La coopérative, sur des coûts publiés et révisés chaque année</t>
  </si>
  <si>
    <t xml:space="preserve">Le marché</t>
  </si>
  <si>
    <t xml:space="preserve">L'entreprise</t>
  </si>
  <si>
    <t xml:space="preserve">La collectivité</t>
  </si>
  <si>
    <t xml:space="preserve">L'excédent va</t>
  </si>
  <si>
    <t xml:space="preserve">Dans la coopérative : baisse du tarif ou réserve commune</t>
  </si>
  <si>
    <t xml:space="preserve">—</t>
  </si>
  <si>
    <t xml:space="preserve">À l'entreprise et à ses actionnaires</t>
  </si>
  <si>
    <t xml:space="preserve">Au service public, financé en partie par l'impôt</t>
  </si>
  <si>
    <t xml:space="preserve">Suivi du vélo</t>
  </si>
  <si>
    <t xml:space="preserve">Contrôles préventifs selon le kilométrage, historique pièce par pièce</t>
  </si>
  <si>
    <t xml:space="preserve">À l'usager d'y penser</t>
  </si>
  <si>
    <t xml:space="preserve">Entretien par le loueur</t>
  </si>
  <si>
    <t xml:space="preserve">Entretien par l'exploitant</t>
  </si>
  <si>
    <t xml:space="preserve">En fin de contrat</t>
  </si>
  <si>
    <t xml:space="preserve">Rendu, reconditionné et reloué ; pièces valides au stock commun</t>
  </si>
  <si>
    <t xml:space="preserve">Revendu</t>
  </si>
  <si>
    <t xml:space="preserve">Rendu</t>
  </si>
  <si>
    <t xml:space="preserve">Prix mensuels indicatifs</t>
  </si>
  <si>
    <t xml:space="preserve">Pignon commun (€/mois)</t>
  </si>
  <si>
    <t xml:space="preserve">Coût de possession estimé (€/mois)</t>
  </si>
  <si>
    <t xml:space="preserve">Véligo (€/mois)</t>
  </si>
  <si>
    <t xml:space="preserve">Écart Pignon commun / possession</t>
  </si>
  <si>
    <t xml:space="preserve">Léger, vélo classique</t>
  </si>
  <si>
    <t xml:space="preserve">Intensif, vélo-cargo électrique</t>
  </si>
  <si>
    <t xml:space="preserve">Coût de possession et Véligo : valeurs saisies (bleu), modifiables. Voir les commentaires des cellules.</t>
  </si>
  <si>
    <t xml:space="preserve">Les deux faiblesses d'un loueur classique</t>
  </si>
  <si>
    <t xml:space="preserve">Faiblesse</t>
  </si>
  <si>
    <t xml:space="preserve">Pourquoi</t>
  </si>
  <si>
    <t xml:space="preserve">Réponse de Pignon commun</t>
  </si>
  <si>
    <t xml:space="preserve">Il loue des vélos qu'il n'a pas conçus</t>
  </si>
  <si>
    <t xml:space="preserve">Rarement fabricant, il achète sa flotte à des fabricants payés à la vente et la fait réparer par des ateliers payés à l'intervention : des acteurs dont les intérêts ne vont pas forcément vers la durée de vie.</t>
  </si>
  <si>
    <t xml:space="preserve">Fabricants, réparateurs et usagers sont dans la même coopérative et payés par le même fonds, sur le même résultat : la durée de vie. Rente et prime pour le fabricant, prime aux kilomètres sans panne pour le réparateur, pièces standard et documentées imposées par le label.</t>
  </si>
  <si>
    <t xml:space="preserve">Un vélo qui n'est pas le sien, on le ménage moins</t>
  </si>
  <si>
    <t xml:space="preserve">L'usager ne supporte ni l'usure ni la revente. Le loueur n'a que la caution et la facture de dégâts, une fois le mal fait.</t>
  </si>
  <si>
    <t xml:space="preserve">Part au kilomètre qui fait payer l'usure réelle, négligence facturée hors du fonds, état des lieux daté à l'entrée et à la sortie, engagement de signaler avant la panne, conseil d'entretien. Surtout, l'éco-usager est sociétaire : le parc qu'il abîme est en partie le sien, et chaque réparation évitée pèse sur le tarif qu'il vote.</t>
  </si>
  <si>
    <t xml:space="preserve">Les cinq raisons de choisir Pignon commun</t>
  </si>
  <si>
    <t xml:space="preserve">1. Personne ne gagne à ce que le vélo casse</t>
  </si>
  <si>
    <t xml:space="preserve">Ni le fabricant, payé tant que le vélo roule, ni le réparateur, primé sur les kilomètres sans panne, ni la coopérative, sans actionnaire.</t>
  </si>
  <si>
    <t xml:space="preserve">2. On paie l'usure qu'on cause</t>
  </si>
  <si>
    <t xml:space="preserve">La part au kilomètre suit l'usage réel : un mois où l'on roule peu coûte moins cher.</t>
  </si>
  <si>
    <t xml:space="preserve">3. On a son mot à dire sur le prix</t>
  </si>
  <si>
    <t xml:space="preserve">Tarif construit sur des coûts publiés, voté et révisé chaque année ; la provision non consommée fait baisser le prix.</t>
  </si>
  <si>
    <t xml:space="preserve">4. Moins d'arrêts, pas d'avance</t>
  </si>
  <si>
    <t xml:space="preserve">Pas de vélo-cargo à 5 000 € à financer, entretien planifié avant la panne, casse prématurée garantie, atelier noté sur le délai de remise en service.</t>
  </si>
  <si>
    <t xml:space="preserve">5. La cotisation construit une filière</t>
  </si>
  <si>
    <t xml:space="preserve">Fabricants de pièces réparables, ateliers de proximité, vélo reconditionné et reloué avec son historique.</t>
  </si>
  <si>
    <t xml:space="preserve">Objections attendues</t>
  </si>
  <si>
    <t xml:space="preserve">Objection</t>
  </si>
  <si>
    <t xml:space="preserve">Réponse</t>
  </si>
  <si>
    <t xml:space="preserve">« C'est un loueur de plus. »</t>
  </si>
  <si>
    <t xml:space="preserve">Un loueur subit la conception de ses vélos et la négligence de ses clients ; Pignon commun aligne fabricants, réparateurs et usagers sur la durée de vie.</t>
  </si>
  <si>
    <t xml:space="preserve">« Véligo est moins cher. »</t>
  </si>
  <si>
    <t xml:space="preserve">Véligo est subventionné et limité à 3 à 12 mois : c'est une offre d'essai. Pignon commun vise l'usage durable, sans limite de durée, avec une gouvernance partagée.</t>
  </si>
  <si>
    <t xml:space="preserve">« Posséder son vélo coûte moins cher. »</t>
  </si>
  <si>
    <t xml:space="preserve">Vrai pour un usage léger (voir le tableau des prix). La cible prioritaire est l'usage intensif, où le prix rejoint le coût de possession, avec le service en plus.</t>
  </si>
  <si>
    <t xml:space="preserve">« Les usagers vont abîmer des vélos qui ne sont pas à eux. »</t>
  </si>
  <si>
    <t xml:space="preserve">Le risque existe dans toute location ; Pignon commun y oppose la part au kilomètre, la négligence facturée, l'état des lieux et le statut de sociétaire. À vérifier en pilote avec les données de Véligo.</t>
  </si>
  <si>
    <t xml:space="preserve">« Qui garantit que le fonds tient ? »</t>
  </si>
  <si>
    <t xml:space="preserve">La simulation économique : scénarios critiques, révision annuelle obligatoire, tarif de démarrage prudent et réserve d'environ 205 € par vélo.</t>
  </si>
  <si>
    <t xml:space="preserve">Acteurs à rencontrer et suivi des contacts</t>
  </si>
  <si>
    <t xml:space="preserve">Détail des fiches dans docs/acteurs.md. Les colonnes sur fond jaune sont à remplir au fil des rencontres ; la ligne d'exemple montre le format attendu.</t>
  </si>
  <si>
    <t xml:space="preserve">Priorité</t>
  </si>
  <si>
    <t xml:space="preserve">Acteur</t>
  </si>
  <si>
    <t xml:space="preserve">À demander</t>
  </si>
  <si>
    <t xml:space="preserve">Argument à mettre en avant</t>
  </si>
  <si>
    <t xml:space="preserve">Contact</t>
  </si>
  <si>
    <t xml:space="preserve">Date</t>
  </si>
  <si>
    <t xml:space="preserve">Résultat</t>
  </si>
  <si>
    <t xml:space="preserve">Prochaine étape</t>
  </si>
  <si>
    <t xml:space="preserve">Droit et assurance</t>
  </si>
  <si>
    <t xml:space="preserve">Juriste spécialisé</t>
  </si>
  <si>
    <t xml:space="preserve">La location suffit-elle à écarter la requalification en assurance ?</t>
  </si>
  <si>
    <t xml:space="preserve">Le vélo appartient à la SCIC, qui entretient son propre parc comme un loueur de flotte.</t>
  </si>
  <si>
    <t xml:space="preserve">Mutuelle d'assurance de l'ESS</t>
  </si>
  <si>
    <t xml:space="preserve">Prix de l'assurance vol d'un parc de 2 000 vélos (simulation : 5 % de la valeur par an)</t>
  </si>
  <si>
    <t xml:space="preserve">Les garde-fous contre la négligence réduisent la sinistralité d'un parc loué.</t>
  </si>
  <si>
    <t xml:space="preserve">Financeurs</t>
  </si>
  <si>
    <t xml:space="preserve">Ecologic</t>
  </si>
  <si>
    <t xml:space="preserve">Une réparation payée par une SCIC propriétaire ouvre-t-elle droit au Bonus Répar Cycle ?</t>
  </si>
  <si>
    <t xml:space="preserve">La réparation est au cœur du modèle : le réparateur est payé pour éviter la panne.</t>
  </si>
  <si>
    <t xml:space="preserve">Fabricants</t>
  </si>
  <si>
    <t xml:space="preserve">Douze Cycles</t>
  </si>
  <si>
    <t xml:space="preserve">Rente sur 8 à 10 ans ? Coût de fabrication réel d'un cargo labellisé ? Garantie de disponibilité des pièces ?</t>
  </si>
  <si>
    <t xml:space="preserve">Revenu indépendant des ventes, client qui paie la durabilité, voix dans la gouvernance. Déjà en logique de service avec Ecovelo.</t>
  </si>
  <si>
    <t xml:space="preserve">Ateliers</t>
  </si>
  <si>
    <t xml:space="preserve">La Fabrique des Cyclistes</t>
  </si>
  <si>
    <t xml:space="preserve">Être l'atelier pilote ; heures réelles par vélo et par an</t>
  </si>
  <si>
    <t xml:space="preserve">Revenu socle sans malus, prime de durabilité, aucune dépendance à la marge sur les pièces : payé pour éviter la panne.</t>
  </si>
  <si>
    <t xml:space="preserve">ADEME</t>
  </si>
  <si>
    <t xml:space="preserve">Financer l'étude de faisabilité et le pilote (dispositif EFC 2026)</t>
  </si>
  <si>
    <t xml:space="preserve">Un loueur classique reste dans l'économie de la vente ; Pignon commun paie sur la durée de vie : c'est l'économie de la fonctionnalité.</t>
  </si>
  <si>
    <t xml:space="preserve">Collectivités</t>
  </si>
  <si>
    <t xml:space="preserve">Île-de-France Mobilités et Cyclonova (Véligo)</t>
  </si>
  <si>
    <t xml:space="preserve">Taux de casse, vol, vacance, rotation ; part des réparations due à la négligence</t>
  </si>
  <si>
    <t xml:space="preserve">Se présenter en relais de Véligo, pas en concurrent ; leurs données testent l'argument sur la négligence.</t>
  </si>
  <si>
    <t xml:space="preserve">Usagers</t>
  </si>
  <si>
    <t xml:space="preserve">Les Boîtes à Vélo</t>
  </si>
  <si>
    <t xml:space="preserve">Coût réel de possession d'un vélo-cargo ; disposition à payer un service complet</t>
  </si>
  <si>
    <t xml:space="preserve">Pas de vélo à 5 000 € à avancer, moins de jours d'arrêt, casse garantie : le cœur de cible.</t>
  </si>
  <si>
    <t xml:space="preserve">Montage</t>
  </si>
  <si>
    <t xml:space="preserve">CG Scop et union régionale</t>
  </si>
  <si>
    <t xml:space="preserve">Structurer les trois collèges et financer un comité technique indépendant</t>
  </si>
  <si>
    <t xml:space="preserve">Une SCIC où chaque collège vote, au service d'un bien commun.</t>
  </si>
  <si>
    <t xml:space="preserve">Théorie</t>
  </si>
  <si>
    <t xml:space="preserve">ATEMIS et IEEFC</t>
  </si>
  <si>
    <t xml:space="preserve">Relire le modèle avant le dossier ADEME</t>
  </si>
  <si>
    <t xml:space="preserve">Un cas concret d'économie de la fonctionnalité et de la coopération dans le vélo.</t>
  </si>
  <si>
    <t xml:space="preserve">Arcade Cycles</t>
  </si>
  <si>
    <t xml:space="preserve">Mêmes questions que pour Douze Cycles</t>
  </si>
  <si>
    <t xml:space="preserve">Revenu stable dans une filière en surcapacité.</t>
  </si>
  <si>
    <t xml:space="preserve">Manufacture Française du Cycle</t>
  </si>
  <si>
    <t xml:space="preserve">Rôle de perma-fabricant sous-traitant payé sur la durée.</t>
  </si>
  <si>
    <t xml:space="preserve">Lapierre</t>
  </si>
  <si>
    <t xml:space="preserve">Conversation stratégique, pas partenaire unique</t>
  </si>
  <si>
    <t xml:space="preserve">Un modèle économique autonome, recherché pendant le redressement judiciaire.</t>
  </si>
  <si>
    <t xml:space="preserve">VELOOP</t>
  </si>
  <si>
    <t xml:space="preserve">Parcours de reconditionnement et stock de pièces commun</t>
  </si>
  <si>
    <t xml:space="preserve">Le vélo rendu est reconditionné et reloué, ses pièces retournent au stock.</t>
  </si>
  <si>
    <t xml:space="preserve">Mobilians et OPCO Mobilités</t>
  </si>
  <si>
    <t xml:space="preserve">Reconnaissance des niveaux N1 à N3 ; financement de la formation</t>
  </si>
  <si>
    <t xml:space="preserve">Un métier de réparateur revalorisé, payé pour la durée de vie obtenue.</t>
  </si>
  <si>
    <t xml:space="preserve">FUB</t>
  </si>
  <si>
    <t xml:space="preserve">Données sur le vol ; regard des usagers</t>
  </si>
  <si>
    <t xml:space="preserve">Transparence sur l'usage léger, pour lequel posséder son vélo reste moins cher.</t>
  </si>
  <si>
    <t xml:space="preserve">Exemple</t>
  </si>
  <si>
    <t xml:space="preserve">Nom de l'acteur</t>
  </si>
  <si>
    <t xml:space="preserve">Prénom Nom, fonction</t>
  </si>
  <si>
    <t xml:space="preserve">30/09/2026</t>
  </si>
  <si>
    <t xml:space="preserve">Intéressé, attend le dossier</t>
  </si>
  <si>
    <t xml:space="preserve">Envoyer la simulation avant le 15/10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</si>
</sst>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-#,##0;\-"/>
    <numFmt numFmtId="166" formatCode="0.0%;\-0.0%;\-"/>
    <numFmt numFmtId="167" formatCode="#,##0&quot; €&quot;;\-#,##0&quot; €&quot;;\-"/>
    <numFmt numFmtId="168" formatCode="0.00;\-0.00;\-"/>
    <numFmt numFmtId="169" formatCode="0.000&quot; €&quot;;\-0.000&quot; €&quot;;\-"/>
    <numFmt numFmtId="170" formatCode="0"/>
    <numFmt numFmtId="171" formatCode="#,##0.###"/>
    <numFmt numFmtId="172" formatCode="\+0%;\-0%;0%"/>
    <numFmt numFmtId="173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D50"/>
        <bgColor rgb="FF3E6B52"/>
      </patternFill>
    </fill>
    <fill>
      <patternFill patternType="solid">
        <fgColor rgb="FFFFFF00"/>
        <bgColor rgb="FFFFFF00"/>
      </patternFill>
    </fill>
    <fill>
      <patternFill patternType="solid">
        <fgColor rgb="FFD9E6DF"/>
        <bgColor rgb="FFE8F0EC"/>
      </patternFill>
    </fill>
    <fill>
      <patternFill patternType="solid">
        <fgColor rgb="FFE8F0EC"/>
        <bgColor rgb="FFD9E6DF"/>
      </patternFill>
    </fill>
    <fill>
      <patternFill patternType="solid">
        <fgColor rgb="FF3E6B52"/>
        <bgColor rgb="FF2F5D5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2F5D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9F5E7"/>
          <bgColor rgb="FF000000"/>
        </patternFill>
      </fill>
    </dxf>
    <dxf>
      <fill>
        <patternFill patternType="solid">
          <fgColor rgb="FFEAF5E5"/>
          <bgColor rgb="FF000000"/>
        </patternFill>
      </fill>
    </dxf>
    <dxf>
      <fill>
        <patternFill patternType="solid">
          <fgColor rgb="FFF0F5DC"/>
          <bgColor rgb="FF000000"/>
        </patternFill>
      </fill>
    </dxf>
    <dxf>
      <fill>
        <patternFill patternType="solid">
          <fgColor rgb="FFF4B6B0"/>
          <bgColor rgb="FF000000"/>
        </patternFill>
      </fill>
    </dxf>
    <dxf>
      <fill>
        <patternFill patternType="solid">
          <fgColor rgb="FFF7C3B5"/>
          <bgColor rgb="FF000000"/>
        </patternFill>
      </fill>
    </dxf>
    <dxf>
      <fill>
        <patternFill patternType="solid">
          <fgColor rgb="FFF9CEB8"/>
          <bgColor rgb="FF000000"/>
        </patternFill>
      </fill>
    </dxf>
    <dxf>
      <fill>
        <patternFill patternType="solid">
          <fgColor rgb="FFF9CFB9"/>
          <bgColor rgb="FF000000"/>
        </patternFill>
      </fill>
    </dxf>
    <dxf>
      <fill>
        <patternFill patternType="solid">
          <fgColor rgb="FFF9D1B9"/>
          <bgColor rgb="FF000000"/>
        </patternFill>
      </fill>
    </dxf>
    <dxf>
      <fill>
        <patternFill patternType="solid">
          <fgColor rgb="FFF9F4CE"/>
          <bgColor rgb="FF000000"/>
        </patternFill>
      </fill>
    </dxf>
    <dxf>
      <fill>
        <patternFill patternType="solid">
          <fgColor rgb="FFFAD5BB"/>
          <bgColor rgb="FF000000"/>
        </patternFill>
      </fill>
    </dxf>
    <dxf>
      <fill>
        <patternFill patternType="solid">
          <fgColor rgb="FFFCDFBE"/>
          <bgColor rgb="FF000000"/>
        </patternFill>
      </fill>
    </dxf>
    <dxf>
      <fill>
        <patternFill patternType="solid">
          <fgColor rgb="FFFDE3BF"/>
          <bgColor rgb="FF000000"/>
        </patternFill>
      </fill>
    </dxf>
    <dxf>
      <fill>
        <patternFill patternType="solid">
          <fgColor rgb="FFFDE6C0"/>
          <bgColor rgb="FF000000"/>
        </patternFill>
      </fill>
    </dxf>
    <dxf>
      <fill>
        <patternFill patternType="solid">
          <fgColor rgb="FFFDF4C6"/>
          <bgColor rgb="FF000000"/>
        </patternFill>
      </fill>
    </dxf>
    <dxf>
      <fill>
        <patternFill patternType="solid">
          <fgColor rgb="FFFEE9C1"/>
          <bgColor rgb="FF000000"/>
        </patternFill>
      </fill>
    </dxf>
    <dxf>
      <fill>
        <patternFill patternType="solid">
          <fgColor rgb="FFFEEAC1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EBF5E4"/>
          <bgColor rgb="FF000000"/>
        </patternFill>
      </fill>
    </dxf>
    <dxf>
      <fill>
        <patternFill patternType="solid">
          <fgColor rgb="FFECF5E3"/>
          <bgColor rgb="FF000000"/>
        </patternFill>
      </fill>
    </dxf>
    <dxf>
      <fill>
        <patternFill patternType="solid">
          <fgColor rgb="FFF7C2B4"/>
          <bgColor rgb="FF000000"/>
        </patternFill>
      </fill>
    </dxf>
    <dxf>
      <fill>
        <patternFill patternType="solid">
          <fgColor rgb="FFF9D0B9"/>
          <bgColor rgb="FF000000"/>
        </patternFill>
      </fill>
    </dxf>
    <dxf>
      <fill>
        <patternFill patternType="solid">
          <fgColor rgb="FFFAF4CB"/>
          <bgColor rgb="FF000000"/>
        </patternFill>
      </fill>
    </dxf>
    <dxf>
      <fill>
        <patternFill patternType="solid">
          <fgColor rgb="FFFCF4C8"/>
          <bgColor rgb="FF000000"/>
        </patternFill>
      </fill>
    </dxf>
    <dxf>
      <fill>
        <patternFill patternType="solid">
          <fgColor rgb="FFFEEDC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C0"/>
      <rgbColor rgb="FF808080"/>
      <rgbColor rgb="FF9999FF"/>
      <rgbColor rgb="FF993366"/>
      <rgbColor rgb="FFE8F0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6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E6B52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23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2" t="s">
        <v>17</v>
      </c>
    </row>
    <row r="23" customFormat="false" ht="23.8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7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6" t="s">
        <v>21</v>
      </c>
    </row>
    <row r="2" customFormat="false" ht="15" hidden="false" customHeight="false" outlineLevel="0" collapsed="false">
      <c r="A2" s="7" t="s">
        <v>22</v>
      </c>
    </row>
    <row r="4" customFormat="false" ht="15" hidden="false" customHeight="fals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</row>
    <row r="5" customFormat="false" ht="15" hidden="false" customHeight="false" outlineLevel="0" collapsed="false">
      <c r="A5" s="9" t="s">
        <v>29</v>
      </c>
      <c r="B5" s="9" t="s">
        <v>30</v>
      </c>
      <c r="C5" s="10" t="n">
        <v>1200</v>
      </c>
      <c r="D5" s="9" t="s">
        <v>31</v>
      </c>
      <c r="E5" s="11" t="s">
        <v>32</v>
      </c>
      <c r="F5" s="12" t="s">
        <v>33</v>
      </c>
    </row>
    <row r="6" customFormat="false" ht="15" hidden="false" customHeight="false" outlineLevel="0" collapsed="false">
      <c r="A6" s="9" t="s">
        <v>29</v>
      </c>
      <c r="B6" s="9" t="s">
        <v>34</v>
      </c>
      <c r="C6" s="10" t="n">
        <v>800</v>
      </c>
      <c r="D6" s="9" t="s">
        <v>31</v>
      </c>
      <c r="E6" s="11" t="s">
        <v>32</v>
      </c>
      <c r="F6" s="12" t="s">
        <v>35</v>
      </c>
    </row>
    <row r="7" customFormat="false" ht="15" hidden="false" customHeight="false" outlineLevel="0" collapsed="false">
      <c r="A7" s="9" t="s">
        <v>29</v>
      </c>
      <c r="B7" s="9" t="s">
        <v>36</v>
      </c>
      <c r="C7" s="10" t="n">
        <v>40</v>
      </c>
      <c r="D7" s="9" t="s">
        <v>37</v>
      </c>
      <c r="E7" s="11" t="s">
        <v>32</v>
      </c>
      <c r="F7" s="12" t="s">
        <v>38</v>
      </c>
    </row>
    <row r="8" customFormat="false" ht="15" hidden="false" customHeight="false" outlineLevel="0" collapsed="false">
      <c r="A8" s="9" t="s">
        <v>39</v>
      </c>
      <c r="B8" s="9" t="s">
        <v>40</v>
      </c>
      <c r="C8" s="10" t="n">
        <v>2800</v>
      </c>
      <c r="D8" s="9" t="s">
        <v>41</v>
      </c>
      <c r="E8" s="11" t="s">
        <v>42</v>
      </c>
      <c r="F8" s="12" t="s">
        <v>43</v>
      </c>
    </row>
    <row r="9" customFormat="false" ht="15" hidden="false" customHeight="false" outlineLevel="0" collapsed="false">
      <c r="A9" s="9" t="s">
        <v>39</v>
      </c>
      <c r="B9" s="9" t="s">
        <v>44</v>
      </c>
      <c r="C9" s="10" t="n">
        <v>5500</v>
      </c>
      <c r="D9" s="9" t="s">
        <v>41</v>
      </c>
      <c r="E9" s="11" t="s">
        <v>45</v>
      </c>
      <c r="F9" s="12" t="s">
        <v>46</v>
      </c>
    </row>
    <row r="10" customFormat="false" ht="15" hidden="false" customHeight="false" outlineLevel="0" collapsed="false">
      <c r="A10" s="9" t="s">
        <v>39</v>
      </c>
      <c r="B10" s="9" t="s">
        <v>47</v>
      </c>
      <c r="C10" s="13" t="n">
        <v>0.2</v>
      </c>
      <c r="D10" s="9" t="s">
        <v>48</v>
      </c>
      <c r="E10" s="11" t="s">
        <v>49</v>
      </c>
      <c r="F10" s="12" t="s">
        <v>50</v>
      </c>
    </row>
    <row r="11" customFormat="false" ht="15" hidden="false" customHeight="false" outlineLevel="0" collapsed="false">
      <c r="A11" s="9" t="s">
        <v>39</v>
      </c>
      <c r="B11" s="9" t="s">
        <v>51</v>
      </c>
      <c r="C11" s="13" t="n">
        <v>0.75</v>
      </c>
      <c r="D11" s="9" t="s">
        <v>48</v>
      </c>
      <c r="E11" s="11" t="s">
        <v>49</v>
      </c>
      <c r="F11" s="12" t="s">
        <v>52</v>
      </c>
    </row>
    <row r="12" customFormat="false" ht="15" hidden="false" customHeight="false" outlineLevel="0" collapsed="false">
      <c r="A12" s="9" t="s">
        <v>39</v>
      </c>
      <c r="B12" s="9" t="s">
        <v>53</v>
      </c>
      <c r="C12" s="14" t="n">
        <v>0.02</v>
      </c>
      <c r="D12" s="9" t="s">
        <v>54</v>
      </c>
      <c r="E12" s="11" t="s">
        <v>55</v>
      </c>
      <c r="F12" s="12" t="s">
        <v>56</v>
      </c>
    </row>
    <row r="13" customFormat="false" ht="15" hidden="false" customHeight="false" outlineLevel="0" collapsed="false">
      <c r="A13" s="9" t="s">
        <v>39</v>
      </c>
      <c r="B13" s="9" t="s">
        <v>57</v>
      </c>
      <c r="C13" s="14" t="n">
        <v>0.05</v>
      </c>
      <c r="D13" s="9" t="s">
        <v>48</v>
      </c>
      <c r="E13" s="11" t="s">
        <v>55</v>
      </c>
      <c r="F13" s="12" t="s">
        <v>58</v>
      </c>
    </row>
    <row r="14" customFormat="false" ht="15" hidden="false" customHeight="false" outlineLevel="0" collapsed="false">
      <c r="A14" s="9" t="s">
        <v>39</v>
      </c>
      <c r="B14" s="9" t="s">
        <v>59</v>
      </c>
      <c r="C14" s="14" t="n">
        <v>0.3</v>
      </c>
      <c r="D14" s="9" t="s">
        <v>48</v>
      </c>
      <c r="E14" s="11" t="s">
        <v>55</v>
      </c>
      <c r="F14" s="12" t="s">
        <v>60</v>
      </c>
    </row>
    <row r="15" customFormat="false" ht="15" hidden="false" customHeight="false" outlineLevel="0" collapsed="false">
      <c r="A15" s="9" t="s">
        <v>61</v>
      </c>
      <c r="B15" s="9" t="s">
        <v>62</v>
      </c>
      <c r="C15" s="15" t="n">
        <v>440</v>
      </c>
      <c r="D15" s="9" t="s">
        <v>63</v>
      </c>
      <c r="E15" s="11" t="s">
        <v>64</v>
      </c>
      <c r="F15" s="12" t="s">
        <v>65</v>
      </c>
    </row>
    <row r="16" customFormat="false" ht="15" hidden="false" customHeight="false" outlineLevel="0" collapsed="false">
      <c r="A16" s="9" t="s">
        <v>61</v>
      </c>
      <c r="B16" s="9" t="s">
        <v>66</v>
      </c>
      <c r="C16" s="16" t="n">
        <v>1170</v>
      </c>
      <c r="D16" s="9" t="s">
        <v>63</v>
      </c>
      <c r="E16" s="11" t="s">
        <v>67</v>
      </c>
      <c r="F16" s="12" t="s">
        <v>68</v>
      </c>
    </row>
    <row r="17" customFormat="false" ht="15" hidden="false" customHeight="false" outlineLevel="0" collapsed="false">
      <c r="A17" s="9" t="s">
        <v>61</v>
      </c>
      <c r="B17" s="9" t="s">
        <v>69</v>
      </c>
      <c r="C17" s="10" t="n">
        <v>10</v>
      </c>
      <c r="D17" s="9" t="s">
        <v>70</v>
      </c>
      <c r="E17" s="11" t="s">
        <v>71</v>
      </c>
      <c r="F17" s="12" t="s">
        <v>72</v>
      </c>
    </row>
    <row r="18" customFormat="false" ht="15" hidden="false" customHeight="false" outlineLevel="0" collapsed="false">
      <c r="A18" s="9" t="s">
        <v>61</v>
      </c>
      <c r="B18" s="9" t="s">
        <v>73</v>
      </c>
      <c r="C18" s="10" t="n">
        <v>8</v>
      </c>
      <c r="D18" s="9" t="s">
        <v>70</v>
      </c>
      <c r="E18" s="11" t="s">
        <v>71</v>
      </c>
      <c r="F18" s="12" t="s">
        <v>74</v>
      </c>
    </row>
    <row r="19" customFormat="false" ht="15" hidden="false" customHeight="false" outlineLevel="0" collapsed="false">
      <c r="A19" s="9" t="s">
        <v>61</v>
      </c>
      <c r="B19" s="9" t="s">
        <v>75</v>
      </c>
      <c r="C19" s="14" t="n">
        <v>0</v>
      </c>
      <c r="D19" s="9" t="s">
        <v>76</v>
      </c>
      <c r="E19" s="11" t="s">
        <v>77</v>
      </c>
      <c r="F19" s="12" t="s">
        <v>78</v>
      </c>
    </row>
    <row r="20" customFormat="false" ht="15" hidden="false" customHeight="false" outlineLevel="0" collapsed="false">
      <c r="A20" s="9" t="s">
        <v>79</v>
      </c>
      <c r="B20" s="9" t="s">
        <v>80</v>
      </c>
      <c r="C20" s="17" t="n">
        <v>1.17857142857143</v>
      </c>
      <c r="D20" s="9" t="s">
        <v>81</v>
      </c>
      <c r="E20" s="11" t="s">
        <v>82</v>
      </c>
      <c r="F20" s="12" t="s">
        <v>83</v>
      </c>
    </row>
    <row r="21" customFormat="false" ht="15" hidden="false" customHeight="false" outlineLevel="0" collapsed="false">
      <c r="A21" s="9" t="s">
        <v>79</v>
      </c>
      <c r="B21" s="9" t="s">
        <v>84</v>
      </c>
      <c r="C21" s="17" t="n">
        <v>1.16363636363636</v>
      </c>
      <c r="D21" s="9" t="s">
        <v>81</v>
      </c>
      <c r="E21" s="11" t="s">
        <v>85</v>
      </c>
      <c r="F21" s="12" t="s">
        <v>86</v>
      </c>
    </row>
    <row r="22" customFormat="false" ht="15" hidden="false" customHeight="false" outlineLevel="0" collapsed="false">
      <c r="A22" s="9" t="s">
        <v>79</v>
      </c>
      <c r="B22" s="9" t="s">
        <v>87</v>
      </c>
      <c r="C22" s="18" t="n">
        <v>1</v>
      </c>
      <c r="D22" s="9" t="s">
        <v>88</v>
      </c>
      <c r="E22" s="11" t="s">
        <v>89</v>
      </c>
      <c r="F22" s="12" t="s">
        <v>90</v>
      </c>
    </row>
    <row r="23" customFormat="false" ht="15" hidden="false" customHeight="false" outlineLevel="0" collapsed="false">
      <c r="A23" s="9" t="s">
        <v>79</v>
      </c>
      <c r="B23" s="9" t="s">
        <v>91</v>
      </c>
      <c r="C23" s="15" t="n">
        <v>47</v>
      </c>
      <c r="D23" s="9" t="s">
        <v>92</v>
      </c>
      <c r="E23" s="11" t="s">
        <v>93</v>
      </c>
      <c r="F23" s="12" t="s">
        <v>94</v>
      </c>
    </row>
    <row r="24" customFormat="false" ht="15" hidden="false" customHeight="false" outlineLevel="0" collapsed="false">
      <c r="A24" s="9" t="s">
        <v>79</v>
      </c>
      <c r="B24" s="9" t="s">
        <v>95</v>
      </c>
      <c r="C24" s="14" t="n">
        <v>0.04</v>
      </c>
      <c r="D24" s="9" t="s">
        <v>76</v>
      </c>
      <c r="E24" s="11" t="s">
        <v>55</v>
      </c>
      <c r="F24" s="12" t="s">
        <v>96</v>
      </c>
    </row>
    <row r="25" customFormat="false" ht="15" hidden="false" customHeight="false" outlineLevel="0" collapsed="false">
      <c r="A25" s="9" t="s">
        <v>79</v>
      </c>
      <c r="B25" s="9" t="s">
        <v>97</v>
      </c>
      <c r="C25" s="15" t="n">
        <v>120</v>
      </c>
      <c r="D25" s="9" t="s">
        <v>98</v>
      </c>
      <c r="E25" s="11" t="s">
        <v>99</v>
      </c>
      <c r="F25" s="12" t="s">
        <v>100</v>
      </c>
    </row>
    <row r="26" customFormat="false" ht="15" hidden="false" customHeight="false" outlineLevel="0" collapsed="false">
      <c r="A26" s="9" t="s">
        <v>79</v>
      </c>
      <c r="B26" s="9" t="s">
        <v>101</v>
      </c>
      <c r="C26" s="14" t="n">
        <v>0.3</v>
      </c>
      <c r="D26" s="9" t="s">
        <v>48</v>
      </c>
      <c r="E26" s="11" t="s">
        <v>55</v>
      </c>
      <c r="F26" s="12" t="s">
        <v>102</v>
      </c>
    </row>
    <row r="27" customFormat="false" ht="15" hidden="false" customHeight="false" outlineLevel="0" collapsed="false">
      <c r="A27" s="9" t="s">
        <v>79</v>
      </c>
      <c r="B27" s="9" t="s">
        <v>103</v>
      </c>
      <c r="C27" s="10" t="n">
        <v>75</v>
      </c>
      <c r="D27" s="9" t="s">
        <v>104</v>
      </c>
      <c r="E27" s="11" t="s">
        <v>105</v>
      </c>
      <c r="F27" s="12" t="s">
        <v>106</v>
      </c>
    </row>
    <row r="28" customFormat="false" ht="15" hidden="false" customHeight="false" outlineLevel="0" collapsed="false">
      <c r="A28" s="9" t="s">
        <v>79</v>
      </c>
      <c r="B28" s="9" t="s">
        <v>107</v>
      </c>
      <c r="C28" s="14" t="n">
        <v>0.25</v>
      </c>
      <c r="D28" s="9" t="s">
        <v>48</v>
      </c>
      <c r="E28" s="11" t="s">
        <v>108</v>
      </c>
      <c r="F28" s="12" t="s">
        <v>109</v>
      </c>
    </row>
    <row r="29" customFormat="false" ht="15" hidden="false" customHeight="false" outlineLevel="0" collapsed="false">
      <c r="A29" s="9" t="s">
        <v>79</v>
      </c>
      <c r="B29" s="9" t="s">
        <v>110</v>
      </c>
      <c r="C29" s="14" t="n">
        <v>0.16</v>
      </c>
      <c r="D29" s="9" t="s">
        <v>48</v>
      </c>
      <c r="E29" s="11" t="s">
        <v>111</v>
      </c>
      <c r="F29" s="12" t="s">
        <v>112</v>
      </c>
    </row>
    <row r="30" customFormat="false" ht="15" hidden="false" customHeight="false" outlineLevel="0" collapsed="false">
      <c r="A30" s="9" t="s">
        <v>113</v>
      </c>
      <c r="B30" s="9" t="s">
        <v>114</v>
      </c>
      <c r="C30" s="19" t="n">
        <v>0.025</v>
      </c>
      <c r="D30" s="9" t="s">
        <v>115</v>
      </c>
      <c r="E30" s="11" t="s">
        <v>116</v>
      </c>
      <c r="F30" s="12" t="s">
        <v>117</v>
      </c>
    </row>
    <row r="31" customFormat="false" ht="15" hidden="false" customHeight="false" outlineLevel="0" collapsed="false">
      <c r="A31" s="9" t="s">
        <v>113</v>
      </c>
      <c r="B31" s="9" t="s">
        <v>118</v>
      </c>
      <c r="C31" s="19" t="n">
        <v>0.045</v>
      </c>
      <c r="D31" s="9" t="s">
        <v>115</v>
      </c>
      <c r="E31" s="11" t="s">
        <v>119</v>
      </c>
      <c r="F31" s="12" t="s">
        <v>120</v>
      </c>
    </row>
    <row r="32" customFormat="false" ht="15" hidden="false" customHeight="false" outlineLevel="0" collapsed="false">
      <c r="A32" s="9" t="s">
        <v>113</v>
      </c>
      <c r="B32" s="9" t="s">
        <v>121</v>
      </c>
      <c r="C32" s="18" t="n">
        <v>1</v>
      </c>
      <c r="D32" s="9" t="s">
        <v>88</v>
      </c>
      <c r="E32" s="11" t="s">
        <v>122</v>
      </c>
      <c r="F32" s="12" t="s">
        <v>123</v>
      </c>
    </row>
    <row r="33" customFormat="false" ht="15" hidden="false" customHeight="false" outlineLevel="0" collapsed="false">
      <c r="A33" s="9" t="s">
        <v>113</v>
      </c>
      <c r="B33" s="9" t="s">
        <v>124</v>
      </c>
      <c r="C33" s="15" t="n">
        <v>650</v>
      </c>
      <c r="D33" s="9" t="s">
        <v>63</v>
      </c>
      <c r="E33" s="11" t="s">
        <v>125</v>
      </c>
      <c r="F33" s="12" t="s">
        <v>126</v>
      </c>
    </row>
    <row r="34" customFormat="false" ht="15" hidden="false" customHeight="false" outlineLevel="0" collapsed="false">
      <c r="A34" s="9" t="s">
        <v>113</v>
      </c>
      <c r="B34" s="9" t="s">
        <v>127</v>
      </c>
      <c r="C34" s="17" t="n">
        <v>1.05</v>
      </c>
      <c r="D34" s="9" t="s">
        <v>128</v>
      </c>
      <c r="E34" s="11" t="s">
        <v>129</v>
      </c>
      <c r="F34" s="12" t="s">
        <v>130</v>
      </c>
    </row>
    <row r="35" customFormat="false" ht="15" hidden="false" customHeight="false" outlineLevel="0" collapsed="false">
      <c r="A35" s="9" t="s">
        <v>113</v>
      </c>
      <c r="B35" s="9" t="s">
        <v>131</v>
      </c>
      <c r="C35" s="17" t="n">
        <v>1</v>
      </c>
      <c r="D35" s="9" t="s">
        <v>88</v>
      </c>
      <c r="E35" s="11" t="s">
        <v>132</v>
      </c>
      <c r="F35" s="12" t="s">
        <v>133</v>
      </c>
    </row>
    <row r="36" customFormat="false" ht="15" hidden="false" customHeight="false" outlineLevel="0" collapsed="false">
      <c r="A36" s="9" t="s">
        <v>134</v>
      </c>
      <c r="B36" s="9" t="s">
        <v>135</v>
      </c>
      <c r="C36" s="14" t="n">
        <v>0.015</v>
      </c>
      <c r="D36" s="9" t="s">
        <v>136</v>
      </c>
      <c r="E36" s="11" t="s">
        <v>71</v>
      </c>
      <c r="F36" s="12" t="s">
        <v>137</v>
      </c>
    </row>
    <row r="37" customFormat="false" ht="15" hidden="false" customHeight="false" outlineLevel="0" collapsed="false">
      <c r="A37" s="9" t="s">
        <v>134</v>
      </c>
      <c r="B37" s="9" t="s">
        <v>138</v>
      </c>
      <c r="C37" s="14" t="n">
        <v>0.03</v>
      </c>
      <c r="D37" s="9" t="s">
        <v>136</v>
      </c>
      <c r="E37" s="11" t="s">
        <v>71</v>
      </c>
      <c r="F37" s="12" t="s">
        <v>139</v>
      </c>
    </row>
    <row r="38" customFormat="false" ht="15" hidden="false" customHeight="false" outlineLevel="0" collapsed="false">
      <c r="A38" s="9" t="s">
        <v>134</v>
      </c>
      <c r="B38" s="9" t="s">
        <v>140</v>
      </c>
      <c r="C38" s="15" t="n">
        <v>400</v>
      </c>
      <c r="D38" s="9" t="s">
        <v>63</v>
      </c>
      <c r="E38" s="11" t="s">
        <v>71</v>
      </c>
      <c r="F38" s="12" t="s">
        <v>141</v>
      </c>
    </row>
    <row r="39" customFormat="false" ht="15" hidden="false" customHeight="false" outlineLevel="0" collapsed="false">
      <c r="A39" s="9" t="s">
        <v>134</v>
      </c>
      <c r="B39" s="9" t="s">
        <v>142</v>
      </c>
      <c r="C39" s="17" t="n">
        <v>1</v>
      </c>
      <c r="D39" s="9" t="s">
        <v>88</v>
      </c>
      <c r="E39" s="11" t="s">
        <v>143</v>
      </c>
      <c r="F39" s="12" t="s">
        <v>144</v>
      </c>
    </row>
    <row r="40" customFormat="false" ht="15" hidden="false" customHeight="false" outlineLevel="0" collapsed="false">
      <c r="A40" s="9" t="s">
        <v>134</v>
      </c>
      <c r="B40" s="9" t="s">
        <v>145</v>
      </c>
      <c r="C40" s="14" t="n">
        <v>0.02</v>
      </c>
      <c r="D40" s="9" t="s">
        <v>146</v>
      </c>
      <c r="E40" s="11" t="s">
        <v>147</v>
      </c>
      <c r="F40" s="12" t="s">
        <v>148</v>
      </c>
    </row>
    <row r="41" customFormat="false" ht="15" hidden="false" customHeight="false" outlineLevel="0" collapsed="false">
      <c r="A41" s="9" t="s">
        <v>134</v>
      </c>
      <c r="B41" s="9" t="s">
        <v>149</v>
      </c>
      <c r="C41" s="14" t="n">
        <v>0.04</v>
      </c>
      <c r="D41" s="9" t="s">
        <v>146</v>
      </c>
      <c r="E41" s="11" t="s">
        <v>150</v>
      </c>
      <c r="F41" s="12" t="s">
        <v>151</v>
      </c>
    </row>
    <row r="42" customFormat="false" ht="15" hidden="false" customHeight="false" outlineLevel="0" collapsed="false">
      <c r="A42" s="9" t="s">
        <v>134</v>
      </c>
      <c r="B42" s="9" t="s">
        <v>152</v>
      </c>
      <c r="C42" s="14" t="n">
        <v>0.05</v>
      </c>
      <c r="D42" s="9" t="s">
        <v>153</v>
      </c>
      <c r="E42" s="11" t="s">
        <v>154</v>
      </c>
      <c r="F42" s="12" t="s">
        <v>155</v>
      </c>
    </row>
    <row r="43" customFormat="false" ht="15" hidden="false" customHeight="false" outlineLevel="0" collapsed="false">
      <c r="A43" s="9" t="s">
        <v>134</v>
      </c>
      <c r="B43" s="9" t="s">
        <v>156</v>
      </c>
      <c r="C43" s="14" t="n">
        <v>0.1</v>
      </c>
      <c r="D43" s="9" t="s">
        <v>153</v>
      </c>
      <c r="E43" s="11" t="s">
        <v>55</v>
      </c>
      <c r="F43" s="12" t="s">
        <v>157</v>
      </c>
    </row>
    <row r="44" customFormat="false" ht="15" hidden="false" customHeight="false" outlineLevel="0" collapsed="false">
      <c r="A44" s="9" t="s">
        <v>134</v>
      </c>
      <c r="B44" s="9" t="s">
        <v>158</v>
      </c>
      <c r="C44" s="15" t="n">
        <v>150</v>
      </c>
      <c r="D44" s="9" t="s">
        <v>63</v>
      </c>
      <c r="E44" s="11" t="s">
        <v>55</v>
      </c>
      <c r="F44" s="12" t="s">
        <v>159</v>
      </c>
    </row>
    <row r="45" customFormat="false" ht="15" hidden="false" customHeight="false" outlineLevel="0" collapsed="false">
      <c r="A45" s="9" t="s">
        <v>134</v>
      </c>
      <c r="B45" s="9" t="s">
        <v>160</v>
      </c>
      <c r="C45" s="15" t="n">
        <v>300</v>
      </c>
      <c r="D45" s="9" t="s">
        <v>63</v>
      </c>
      <c r="E45" s="11" t="s">
        <v>55</v>
      </c>
      <c r="F45" s="12" t="s">
        <v>161</v>
      </c>
    </row>
    <row r="46" customFormat="false" ht="15" hidden="false" customHeight="false" outlineLevel="0" collapsed="false">
      <c r="A46" s="9" t="s">
        <v>134</v>
      </c>
      <c r="B46" s="9" t="s">
        <v>162</v>
      </c>
      <c r="C46" s="14" t="n">
        <v>0.6</v>
      </c>
      <c r="D46" s="9" t="s">
        <v>48</v>
      </c>
      <c r="E46" s="11" t="s">
        <v>55</v>
      </c>
      <c r="F46" s="12" t="s">
        <v>163</v>
      </c>
    </row>
    <row r="47" customFormat="false" ht="15" hidden="false" customHeight="false" outlineLevel="0" collapsed="false">
      <c r="A47" s="9" t="s">
        <v>29</v>
      </c>
      <c r="B47" s="9" t="s">
        <v>164</v>
      </c>
      <c r="C47" s="15" t="n">
        <v>25</v>
      </c>
      <c r="D47" s="9" t="s">
        <v>63</v>
      </c>
      <c r="E47" s="11" t="s">
        <v>165</v>
      </c>
      <c r="F47" s="12" t="s">
        <v>166</v>
      </c>
    </row>
    <row r="48" customFormat="false" ht="15" hidden="false" customHeight="false" outlineLevel="0" collapsed="false">
      <c r="A48" s="9" t="s">
        <v>29</v>
      </c>
      <c r="B48" s="9" t="s">
        <v>167</v>
      </c>
      <c r="C48" s="14" t="n">
        <v>0.1</v>
      </c>
      <c r="D48" s="9" t="s">
        <v>48</v>
      </c>
      <c r="E48" s="11" t="s">
        <v>55</v>
      </c>
      <c r="F48" s="12" t="s">
        <v>168</v>
      </c>
    </row>
    <row r="49" customFormat="false" ht="15" hidden="false" customHeight="false" outlineLevel="0" collapsed="false">
      <c r="A49" s="9" t="s">
        <v>29</v>
      </c>
      <c r="B49" s="9" t="s">
        <v>169</v>
      </c>
      <c r="C49" s="15" t="n">
        <v>60</v>
      </c>
      <c r="D49" s="9" t="s">
        <v>63</v>
      </c>
      <c r="E49" s="11" t="s">
        <v>55</v>
      </c>
      <c r="F49" s="12" t="s">
        <v>170</v>
      </c>
    </row>
    <row r="50" customFormat="false" ht="15" hidden="false" customHeight="false" outlineLevel="0" collapsed="false">
      <c r="A50" s="9" t="s">
        <v>29</v>
      </c>
      <c r="B50" s="9" t="s">
        <v>171</v>
      </c>
      <c r="C50" s="15" t="n">
        <v>120</v>
      </c>
      <c r="D50" s="9" t="s">
        <v>63</v>
      </c>
      <c r="E50" s="11" t="s">
        <v>55</v>
      </c>
      <c r="F50" s="12" t="s">
        <v>172</v>
      </c>
    </row>
    <row r="51" customFormat="false" ht="15" hidden="false" customHeight="false" outlineLevel="0" collapsed="false">
      <c r="A51" s="9" t="s">
        <v>173</v>
      </c>
      <c r="B51" s="9" t="s">
        <v>174</v>
      </c>
      <c r="C51" s="14" t="n">
        <v>0.06</v>
      </c>
      <c r="D51" s="9" t="s">
        <v>175</v>
      </c>
      <c r="E51" s="11" t="s">
        <v>71</v>
      </c>
      <c r="F51" s="12" t="s">
        <v>176</v>
      </c>
    </row>
    <row r="52" customFormat="false" ht="15" hidden="false" customHeight="false" outlineLevel="0" collapsed="false">
      <c r="A52" s="9" t="s">
        <v>173</v>
      </c>
      <c r="B52" s="9" t="s">
        <v>177</v>
      </c>
      <c r="C52" s="15" t="n">
        <v>0</v>
      </c>
      <c r="D52" s="9" t="s">
        <v>98</v>
      </c>
      <c r="E52" s="11" t="s">
        <v>178</v>
      </c>
      <c r="F52" s="12" t="s">
        <v>179</v>
      </c>
    </row>
    <row r="53" customFormat="false" ht="15" hidden="false" customHeight="false" outlineLevel="0" collapsed="false">
      <c r="A53" s="9" t="s">
        <v>173</v>
      </c>
      <c r="B53" s="9" t="s">
        <v>180</v>
      </c>
      <c r="C53" s="14" t="n">
        <v>0.08</v>
      </c>
      <c r="D53" s="9" t="s">
        <v>175</v>
      </c>
      <c r="E53" s="11" t="s">
        <v>71</v>
      </c>
      <c r="F53" s="12" t="s">
        <v>181</v>
      </c>
    </row>
    <row r="54" customFormat="false" ht="15" hidden="false" customHeight="false" outlineLevel="0" collapsed="false">
      <c r="A54" s="9" t="s">
        <v>182</v>
      </c>
      <c r="B54" s="9" t="s">
        <v>183</v>
      </c>
      <c r="C54" s="14" t="n">
        <v>0.02</v>
      </c>
      <c r="D54" s="9" t="s">
        <v>76</v>
      </c>
      <c r="E54" s="11" t="s">
        <v>55</v>
      </c>
      <c r="F54" s="12" t="s">
        <v>184</v>
      </c>
    </row>
    <row r="55" customFormat="false" ht="15" hidden="false" customHeight="false" outlineLevel="0" collapsed="false">
      <c r="A55" s="9" t="s">
        <v>182</v>
      </c>
      <c r="B55" s="9" t="s">
        <v>185</v>
      </c>
      <c r="C55" s="20" t="n">
        <v>1</v>
      </c>
      <c r="D55" s="9" t="s">
        <v>186</v>
      </c>
      <c r="E55" s="11" t="s">
        <v>187</v>
      </c>
      <c r="F55" s="12" t="s">
        <v>188</v>
      </c>
    </row>
    <row r="56" customFormat="false" ht="15" hidden="false" customHeight="false" outlineLevel="0" collapsed="false">
      <c r="A56" s="9" t="s">
        <v>182</v>
      </c>
      <c r="B56" s="9" t="s">
        <v>189</v>
      </c>
      <c r="C56" s="14" t="n">
        <v>0.1</v>
      </c>
      <c r="D56" s="9" t="s">
        <v>76</v>
      </c>
      <c r="E56" s="11" t="s">
        <v>190</v>
      </c>
      <c r="F56" s="12" t="s">
        <v>191</v>
      </c>
    </row>
    <row r="57" customFormat="false" ht="15" hidden="false" customHeight="false" outlineLevel="0" collapsed="false">
      <c r="A57" s="9" t="s">
        <v>182</v>
      </c>
      <c r="B57" s="9" t="s">
        <v>192</v>
      </c>
      <c r="C57" s="14" t="n">
        <v>0.1</v>
      </c>
      <c r="D57" s="9" t="s">
        <v>76</v>
      </c>
      <c r="E57" s="11" t="s">
        <v>190</v>
      </c>
      <c r="F57" s="12" t="s">
        <v>193</v>
      </c>
    </row>
    <row r="58" customFormat="false" ht="15" hidden="false" customHeight="false" outlineLevel="0" collapsed="false">
      <c r="A58" s="9" t="s">
        <v>182</v>
      </c>
      <c r="B58" s="9" t="s">
        <v>194</v>
      </c>
      <c r="C58" s="15" t="n">
        <v>0</v>
      </c>
      <c r="D58" s="9" t="s">
        <v>63</v>
      </c>
      <c r="E58" s="11" t="s">
        <v>195</v>
      </c>
      <c r="F58" s="12" t="s">
        <v>196</v>
      </c>
    </row>
    <row r="59" customFormat="false" ht="15" hidden="false" customHeight="false" outlineLevel="0" collapsed="false">
      <c r="A59" s="9" t="s">
        <v>197</v>
      </c>
      <c r="B59" s="9" t="s">
        <v>198</v>
      </c>
      <c r="C59" s="15" t="n">
        <v>431</v>
      </c>
      <c r="D59" s="9" t="s">
        <v>98</v>
      </c>
      <c r="E59" s="11" t="s">
        <v>199</v>
      </c>
      <c r="F59" s="12" t="s">
        <v>200</v>
      </c>
    </row>
    <row r="60" customFormat="false" ht="15" hidden="false" customHeight="false" outlineLevel="0" collapsed="false">
      <c r="A60" s="9" t="s">
        <v>197</v>
      </c>
      <c r="B60" s="9" t="s">
        <v>201</v>
      </c>
      <c r="C60" s="15" t="n">
        <v>765</v>
      </c>
      <c r="D60" s="9" t="s">
        <v>98</v>
      </c>
      <c r="E60" s="11" t="s">
        <v>199</v>
      </c>
      <c r="F60" s="1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6" t="s">
        <v>203</v>
      </c>
    </row>
    <row r="2" customFormat="false" ht="15" hidden="false" customHeight="false" outlineLevel="0" collapsed="false">
      <c r="A2" s="7" t="s">
        <v>204</v>
      </c>
    </row>
    <row r="3" customFormat="false" ht="15" hidden="false" customHeight="false" outlineLevel="0" collapsed="false">
      <c r="A3" s="8" t="s">
        <v>205</v>
      </c>
      <c r="B3" s="8"/>
      <c r="C3" s="8" t="s">
        <v>206</v>
      </c>
      <c r="D3" s="8" t="s">
        <v>207</v>
      </c>
    </row>
    <row r="4" customFormat="false" ht="15" hidden="false" customHeight="false" outlineLevel="0" collapsed="false">
      <c r="A4" s="21" t="s">
        <v>208</v>
      </c>
      <c r="B4" s="22"/>
      <c r="C4" s="22"/>
      <c r="D4" s="22"/>
    </row>
    <row r="5" customFormat="false" ht="15" hidden="false" customHeight="false" outlineLevel="0" collapsed="false">
      <c r="A5" s="23" t="s">
        <v>209</v>
      </c>
      <c r="C5" s="24" t="n">
        <f aca="false">remplissage/(churn+remplissage-churn*remplissage)</f>
        <v>0.9375</v>
      </c>
      <c r="D5" s="24" t="n">
        <f aca="false">remplissage/(churn+remplissage-churn*remplissage)</f>
        <v>0.9375</v>
      </c>
    </row>
    <row r="6" customFormat="false" ht="15" hidden="false" customHeight="false" outlineLevel="0" collapsed="false">
      <c r="A6" s="23" t="s">
        <v>210</v>
      </c>
      <c r="C6" s="25" t="n">
        <f aca="false">C5*km_leger</f>
        <v>2625</v>
      </c>
      <c r="D6" s="25" t="n">
        <f aca="false">D5*km_intensif</f>
        <v>5156.25</v>
      </c>
    </row>
    <row r="7" customFormat="false" ht="15" hidden="false" customHeight="false" outlineLevel="0" collapsed="false">
      <c r="A7" s="23" t="s">
        <v>211</v>
      </c>
      <c r="C7" s="26" t="n">
        <f aca="false">(vie_leger-1)/2</f>
        <v>4.5</v>
      </c>
      <c r="D7" s="26" t="n">
        <f aca="false">(vie_intensif-1)/2</f>
        <v>3.5</v>
      </c>
    </row>
    <row r="8" customFormat="false" ht="15" hidden="false" customHeight="false" outlineLevel="0" collapsed="false">
      <c r="A8" s="23" t="s">
        <v>212</v>
      </c>
      <c r="C8" s="26" t="n">
        <f aca="false">h_1000km_leger*h_facteur/1000*C6*(1+vieillissement*C7)</f>
        <v>3.650625</v>
      </c>
      <c r="D8" s="26" t="n">
        <f aca="false">h_1000km_intensif*h_facteur/1000*D6*(1+vieillissement*D7)</f>
        <v>6.84000000000001</v>
      </c>
    </row>
    <row r="9" customFormat="false" ht="15" hidden="false" customHeight="false" outlineLevel="0" collapsed="false">
      <c r="A9" s="21" t="s">
        <v>213</v>
      </c>
      <c r="B9" s="22"/>
      <c r="C9" s="22"/>
      <c r="D9" s="22"/>
    </row>
    <row r="10" customFormat="false" ht="15" hidden="false" customHeight="false" outlineLevel="0" collapsed="false">
      <c r="A10" s="23" t="s">
        <v>214</v>
      </c>
      <c r="C10" s="27" t="n">
        <f aca="false">forfait_suivi*(C5+forfait_vacant*(1-C5))</f>
        <v>114.75</v>
      </c>
      <c r="D10" s="27" t="n">
        <f aca="false">forfait_suivi*(D5+forfait_vacant*(1-D5))</f>
        <v>114.75</v>
      </c>
    </row>
    <row r="11" customFormat="false" ht="15" hidden="false" customHeight="false" outlineLevel="0" collapsed="false">
      <c r="A11" s="23" t="s">
        <v>215</v>
      </c>
      <c r="C11" s="27" t="n">
        <f aca="false">C8*taux_horaire</f>
        <v>171.579375</v>
      </c>
      <c r="D11" s="27" t="n">
        <f aca="false">D8*taux_horaire</f>
        <v>321.48</v>
      </c>
    </row>
    <row r="12" customFormat="false" ht="15" hidden="false" customHeight="false" outlineLevel="0" collapsed="false">
      <c r="A12" s="23" t="s">
        <v>216</v>
      </c>
      <c r="C12" s="27" t="n">
        <f aca="false">prime_rep*(C10+C11)*score_moyen/100</f>
        <v>53.6867578125</v>
      </c>
      <c r="D12" s="27" t="n">
        <f aca="false">prime_rep*(D10+D11)*score_moyen/100</f>
        <v>81.7931250000001</v>
      </c>
    </row>
    <row r="13" customFormat="false" ht="15" hidden="false" customHeight="false" outlineLevel="0" collapsed="false">
      <c r="A13" s="23" t="s">
        <v>217</v>
      </c>
      <c r="C13" s="27" t="n">
        <f aca="false">pieces_km_leger*pieces_facteur*C6</f>
        <v>65.625</v>
      </c>
      <c r="D13" s="27" t="n">
        <f aca="false">pieces_km_intensif*pieces_facteur*D6</f>
        <v>232.03125</v>
      </c>
    </row>
    <row r="14" customFormat="false" ht="15" hidden="false" customHeight="false" outlineLevel="0" collapsed="false">
      <c r="A14" s="23" t="s">
        <v>218</v>
      </c>
      <c r="C14" s="27" t="n">
        <f aca="false">0</f>
        <v>0</v>
      </c>
      <c r="D14" s="27" t="n">
        <f aca="false">batterie_remplacements/vie_intensif*batterie_facteur*batterie_cout</f>
        <v>85.3125</v>
      </c>
    </row>
    <row r="15" customFormat="false" ht="15" hidden="false" customHeight="false" outlineLevel="0" collapsed="false">
      <c r="A15" s="23" t="s">
        <v>219</v>
      </c>
      <c r="C15" s="27" t="n">
        <f aca="false">IF(taux_financement&gt;0,cout_leger*taux_financement/(1-(1+taux_financement)^(-vie_leger)),cout_leger/vie_leger)</f>
        <v>44</v>
      </c>
      <c r="D15" s="27" t="n">
        <f aca="false">IF(taux_financement&gt;0,cout_intensif*taux_financement/(1-(1+taux_financement)^(-vie_intensif)),cout_intensif/vie_intensif)</f>
        <v>146.25</v>
      </c>
    </row>
    <row r="16" customFormat="false" ht="15" hidden="false" customHeight="false" outlineLevel="0" collapsed="false">
      <c r="A16" s="23" t="s">
        <v>220</v>
      </c>
      <c r="C16" s="27" t="n">
        <f aca="false">prime_fab*C15*score_moyen/75</f>
        <v>7.04</v>
      </c>
      <c r="D16" s="27" t="n">
        <f aca="false">prime_fab*D15*score_moyen/75</f>
        <v>23.4</v>
      </c>
    </row>
    <row r="17" customFormat="false" ht="15" hidden="false" customHeight="false" outlineLevel="0" collapsed="false">
      <c r="A17" s="23" t="s">
        <v>221</v>
      </c>
      <c r="C17" s="27" t="n">
        <f aca="false">casse_leger*casse_facteur*C5*casse_cout</f>
        <v>5.625</v>
      </c>
      <c r="D17" s="27" t="n">
        <f aca="false">casse_intensif*casse_facteur*D5*casse_cout</f>
        <v>11.25</v>
      </c>
    </row>
    <row r="18" customFormat="false" ht="15" hidden="false" customHeight="false" outlineLevel="0" collapsed="false">
      <c r="A18" s="23" t="s">
        <v>222</v>
      </c>
      <c r="C18" s="27" t="n">
        <f aca="false">assurance_taux*cout_leger+vol_leger*(C5+0.3*(1-C5))*assurance_franchise*cout_leger-vol_leger*C5*franchise_client_leger*recouvrement_franchise</f>
        <v>21.154</v>
      </c>
      <c r="D18" s="27" t="n">
        <f aca="false">assurance_taux*cout_intensif+vol_intensif*(D5+0.3*(1-D5))*assurance_franchise*cout_intensif-vol_intensif*D5*franchise_client_intensif*recouvrement_franchise</f>
        <v>56.22525</v>
      </c>
    </row>
    <row r="19" customFormat="false" ht="15" hidden="false" customHeight="false" outlineLevel="0" collapsed="false">
      <c r="A19" s="23" t="s">
        <v>223</v>
      </c>
      <c r="C19" s="27" t="n">
        <f aca="false">capteur_cout*(1/vie_leger+capteur_renouvellement)</f>
        <v>5</v>
      </c>
      <c r="D19" s="27" t="n">
        <f aca="false">0</f>
        <v>0</v>
      </c>
    </row>
    <row r="20" customFormat="false" ht="15" hidden="false" customHeight="false" outlineLevel="0" collapsed="false">
      <c r="A20" s="23" t="s">
        <v>224</v>
      </c>
      <c r="C20" s="27" t="n">
        <f aca="false">churn*C5*recond_leger</f>
        <v>11.25</v>
      </c>
      <c r="D20" s="27" t="n">
        <f aca="false">churn*D5*recond_intensif</f>
        <v>22.5</v>
      </c>
    </row>
    <row r="21" customFormat="false" ht="15" hidden="false" customHeight="false" outlineLevel="0" collapsed="false">
      <c r="A21" s="28" t="s">
        <v>225</v>
      </c>
      <c r="C21" s="29" t="n">
        <f aca="false">SUM(C10:C20)</f>
        <v>499.7101328125</v>
      </c>
      <c r="D21" s="29" t="n">
        <f aca="false">SUM(D10:D20)</f>
        <v>1094.992125</v>
      </c>
    </row>
    <row r="22" customFormat="false" ht="15" hidden="false" customHeight="false" outlineLevel="0" collapsed="false">
      <c r="A22" s="21" t="s">
        <v>226</v>
      </c>
      <c r="B22" s="22"/>
      <c r="C22" s="22"/>
      <c r="D22" s="22"/>
    </row>
    <row r="23" customFormat="false" ht="15" hidden="false" customHeight="false" outlineLevel="0" collapsed="false">
      <c r="A23" s="23" t="s">
        <v>227</v>
      </c>
      <c r="C23" s="27" t="n">
        <f aca="false">C11+C13+prime_rep*C11*score_moyen/100</f>
        <v>269.3755078125</v>
      </c>
      <c r="D23" s="27" t="n">
        <f aca="false">D11+D13+prime_rep*D11*score_moyen/100</f>
        <v>613.78875</v>
      </c>
    </row>
    <row r="24" customFormat="false" ht="15" hidden="false" customHeight="false" outlineLevel="0" collapsed="false">
      <c r="A24" s="23" t="s">
        <v>228</v>
      </c>
      <c r="C24" s="27" t="n">
        <f aca="false">C21-C23+gestion_fixe/(n_leger+n_intensif)</f>
        <v>230.334625</v>
      </c>
      <c r="D24" s="27" t="n">
        <f aca="false">D21-D23+gestion_fixe/(n_leger+n_intensif)</f>
        <v>481.203375</v>
      </c>
    </row>
    <row r="25" customFormat="false" ht="15" hidden="false" customHeight="false" outlineLevel="0" collapsed="false">
      <c r="A25" s="23" t="s">
        <v>229</v>
      </c>
      <c r="C25" s="26" t="n">
        <f aca="false">1+gestion_taux+provision</f>
        <v>1.14</v>
      </c>
      <c r="D25" s="26" t="n">
        <f aca="false">1+gestion_taux+provision</f>
        <v>1.14</v>
      </c>
    </row>
    <row r="26" customFormat="false" ht="15" hidden="false" customHeight="false" outlineLevel="0" collapsed="false">
      <c r="A26" s="28" t="s">
        <v>230</v>
      </c>
      <c r="C26" s="29" t="n">
        <f aca="false">C24*C25/(C5*(1-impayes))</f>
        <v>285.802963265306</v>
      </c>
      <c r="D26" s="29" t="n">
        <f aca="false">D24*D25/(D5*(1-impayes))</f>
        <v>597.085004081633</v>
      </c>
    </row>
    <row r="27" customFormat="false" ht="15" hidden="false" customHeight="false" outlineLevel="0" collapsed="false">
      <c r="A27" s="28" t="s">
        <v>231</v>
      </c>
      <c r="C27" s="30" t="n">
        <f aca="false">C23*C25/(C5*(1-impayes)*km_leger*(1-fraude_part*fraude_sous_declaration))</f>
        <v>0.121191271958385</v>
      </c>
      <c r="D27" s="30" t="n">
        <f aca="false">D23*D25/(D5*(1-impayes)*km_intensif*(1-fraude_part*fraude_sous_declaration))</f>
        <v>0.140581283256265</v>
      </c>
    </row>
    <row r="28" customFormat="false" ht="15" hidden="false" customHeight="false" outlineLevel="0" collapsed="false">
      <c r="A28" s="28" t="s">
        <v>232</v>
      </c>
      <c r="C28" s="29" t="n">
        <f aca="false">C26+C27*km_leger</f>
        <v>625.138524748783</v>
      </c>
      <c r="D28" s="29" t="n">
        <f aca="false">D26+D27*km_intensif</f>
        <v>1370.28206199109</v>
      </c>
    </row>
    <row r="29" customFormat="false" ht="15" hidden="false" customHeight="false" outlineLevel="0" collapsed="false">
      <c r="A29" s="28" t="s">
        <v>233</v>
      </c>
      <c r="C29" s="29" t="n">
        <f aca="false">C28/12</f>
        <v>52.0948770623986</v>
      </c>
      <c r="D29" s="29" t="n">
        <f aca="false">D28/12</f>
        <v>114.190171832591</v>
      </c>
    </row>
    <row r="30" customFormat="false" ht="15" hidden="false" customHeight="false" outlineLevel="0" collapsed="false">
      <c r="A30" s="23" t="s">
        <v>234</v>
      </c>
      <c r="C30" s="27" t="n">
        <f aca="false">(C26+C27*km_leger*(1-fraude_part*fraude_sous_declaration))*(1-impayes)</f>
        <v>607.6475215</v>
      </c>
      <c r="D30" s="27" t="n">
        <f aca="false">(D26+D27*km_intensif*(1-fraude_part*fraude_sous_declaration))*(1-impayes)</f>
        <v>1331.510424</v>
      </c>
    </row>
    <row r="31" customFormat="false" ht="15" hidden="false" customHeight="false" outlineLevel="0" collapsed="false">
      <c r="A31" s="21" t="s">
        <v>235</v>
      </c>
      <c r="B31" s="22"/>
      <c r="C31" s="22"/>
      <c r="D31" s="22"/>
    </row>
    <row r="32" customFormat="false" ht="15" hidden="false" customHeight="false" outlineLevel="0" collapsed="false">
      <c r="A32" s="23" t="s">
        <v>236</v>
      </c>
      <c r="C32" s="31" t="n">
        <f aca="false">page_leger</f>
        <v>431</v>
      </c>
      <c r="D32" s="31" t="n">
        <f aca="false">page_intensif</f>
        <v>765</v>
      </c>
    </row>
    <row r="33" customFormat="false" ht="15" hidden="false" customHeight="false" outlineLevel="0" collapsed="false">
      <c r="A33" s="23" t="s">
        <v>237</v>
      </c>
      <c r="C33" s="24" t="n">
        <f aca="false">C28/C32-1</f>
        <v>0.450437412410169</v>
      </c>
      <c r="D33" s="24" t="n">
        <f aca="false">D28/D32-1</f>
        <v>0.791218381687701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6" t="s">
        <v>238</v>
      </c>
    </row>
    <row r="2" customFormat="false" ht="15" hidden="false" customHeight="false" outlineLevel="0" collapsed="false">
      <c r="A2" s="7" t="s">
        <v>239</v>
      </c>
    </row>
    <row r="4" customFormat="false" ht="15" hidden="false" customHeight="false" outlineLevel="0" collapsed="false">
      <c r="A4" s="32" t="s">
        <v>240</v>
      </c>
      <c r="B4" s="33" t="n">
        <v>1</v>
      </c>
      <c r="C4" s="33" t="n">
        <v>2</v>
      </c>
      <c r="D4" s="33" t="n">
        <v>3</v>
      </c>
      <c r="E4" s="33" t="n">
        <v>4</v>
      </c>
      <c r="F4" s="33" t="n">
        <v>5</v>
      </c>
      <c r="G4" s="33" t="n">
        <v>6</v>
      </c>
      <c r="H4" s="33" t="n">
        <v>7</v>
      </c>
      <c r="I4" s="33" t="n">
        <v>8</v>
      </c>
      <c r="J4" s="33" t="n">
        <v>9</v>
      </c>
      <c r="K4" s="33" t="n">
        <v>10</v>
      </c>
    </row>
    <row r="5" customFormat="false" ht="15" hidden="false" customHeight="false" outlineLevel="0" collapsed="false">
      <c r="A5" s="23" t="s">
        <v>241</v>
      </c>
      <c r="B5" s="26" t="n">
        <f aca="false">(1+inflation)^(B4-1)</f>
        <v>1</v>
      </c>
      <c r="C5" s="26" t="n">
        <f aca="false">(1+inflation)^(C4-1)</f>
        <v>1.02</v>
      </c>
      <c r="D5" s="26" t="n">
        <f aca="false">(1+inflation)^(D4-1)</f>
        <v>1.0404</v>
      </c>
      <c r="E5" s="26" t="n">
        <f aca="false">(1+inflation)^(E4-1)</f>
        <v>1.061208</v>
      </c>
      <c r="F5" s="26" t="n">
        <f aca="false">(1+inflation)^(F4-1)</f>
        <v>1.08243216</v>
      </c>
      <c r="G5" s="26" t="n">
        <f aca="false">(1+inflation)^(G4-1)</f>
        <v>1.1040808032</v>
      </c>
      <c r="H5" s="26" t="n">
        <f aca="false">(1+inflation)^(H4-1)</f>
        <v>1.126162419264</v>
      </c>
      <c r="I5" s="26" t="n">
        <f aca="false">(1+inflation)^(I4-1)</f>
        <v>1.14868566764928</v>
      </c>
      <c r="J5" s="26" t="n">
        <f aca="false">(1+inflation)^(J4-1)</f>
        <v>1.17165938100227</v>
      </c>
      <c r="K5" s="26" t="n">
        <f aca="false">(1+inflation)^(K4-1)</f>
        <v>1.19509256862231</v>
      </c>
    </row>
    <row r="6" customFormat="false" ht="15" hidden="false" customHeight="false" outlineLevel="0" collapsed="false">
      <c r="A6" s="23" t="s">
        <v>242</v>
      </c>
      <c r="B6" s="31" t="n">
        <f aca="false">Cotisation!$C$21*n_leger*B5</f>
        <v>599652.159375</v>
      </c>
      <c r="C6" s="31" t="n">
        <f aca="false">Cotisation!$C$21*n_leger*C5</f>
        <v>611645.2025625</v>
      </c>
      <c r="D6" s="31" t="n">
        <f aca="false">Cotisation!$C$21*n_leger*D5</f>
        <v>623878.10661375</v>
      </c>
      <c r="E6" s="31" t="n">
        <f aca="false">Cotisation!$C$21*n_leger*E5</f>
        <v>636355.668746025</v>
      </c>
      <c r="F6" s="31" t="n">
        <f aca="false">Cotisation!$C$21*n_leger*F5</f>
        <v>649082.782120946</v>
      </c>
      <c r="G6" s="31" t="n">
        <f aca="false">Cotisation!$C$21*n_leger*G5</f>
        <v>662064.437763365</v>
      </c>
      <c r="H6" s="31" t="n">
        <f aca="false">Cotisation!$C$21*n_leger*H5</f>
        <v>675305.726518632</v>
      </c>
      <c r="I6" s="31" t="n">
        <f aca="false">Cotisation!$C$21*n_leger*I5</f>
        <v>688811.841049005</v>
      </c>
      <c r="J6" s="31" t="n">
        <f aca="false">Cotisation!$C$21*n_leger*J5</f>
        <v>702588.077869985</v>
      </c>
      <c r="K6" s="31" t="n">
        <f aca="false">Cotisation!$C$21*n_leger*K5</f>
        <v>716639.839427384</v>
      </c>
    </row>
    <row r="7" customFormat="false" ht="15" hidden="false" customHeight="false" outlineLevel="0" collapsed="false">
      <c r="A7" s="23" t="s">
        <v>243</v>
      </c>
      <c r="B7" s="31" t="n">
        <f aca="false">Cotisation!$D$21*n_intensif*B5</f>
        <v>875993.7</v>
      </c>
      <c r="C7" s="31" t="n">
        <f aca="false">Cotisation!$D$21*n_intensif*C5</f>
        <v>893513.574</v>
      </c>
      <c r="D7" s="31" t="n">
        <f aca="false">Cotisation!$D$21*n_intensif*D5</f>
        <v>911383.84548</v>
      </c>
      <c r="E7" s="31" t="n">
        <f aca="false">Cotisation!$D$21*n_intensif*E5</f>
        <v>929611.5223896</v>
      </c>
      <c r="F7" s="31" t="n">
        <f aca="false">Cotisation!$D$21*n_intensif*F5</f>
        <v>948203.752837392</v>
      </c>
      <c r="G7" s="31" t="n">
        <f aca="false">Cotisation!$D$21*n_intensif*G5</f>
        <v>967167.82789414</v>
      </c>
      <c r="H7" s="31" t="n">
        <f aca="false">Cotisation!$D$21*n_intensif*H5</f>
        <v>986511.184452023</v>
      </c>
      <c r="I7" s="31" t="n">
        <f aca="false">Cotisation!$D$21*n_intensif*I5</f>
        <v>1006241.40814106</v>
      </c>
      <c r="J7" s="31" t="n">
        <f aca="false">Cotisation!$D$21*n_intensif*J5</f>
        <v>1026366.23630388</v>
      </c>
      <c r="K7" s="31" t="n">
        <f aca="false">Cotisation!$D$21*n_intensif*K5</f>
        <v>1046893.56102996</v>
      </c>
    </row>
    <row r="8" customFormat="false" ht="15" hidden="false" customHeight="false" outlineLevel="0" collapsed="false">
      <c r="A8" s="23" t="s">
        <v>244</v>
      </c>
      <c r="B8" s="27" t="n">
        <f aca="false">gestion_taux*(B6+B7)+gestion_fixe*B5</f>
        <v>88538.7515625</v>
      </c>
      <c r="C8" s="27" t="n">
        <f aca="false">gestion_taux*(C6+C7)+gestion_fixe*C5</f>
        <v>90309.52659375</v>
      </c>
      <c r="D8" s="27" t="n">
        <f aca="false">gestion_taux*(D6+D7)+gestion_fixe*D5</f>
        <v>92115.717125625</v>
      </c>
      <c r="E8" s="27" t="n">
        <f aca="false">gestion_taux*(E6+E7)+gestion_fixe*E5</f>
        <v>93958.0314681375</v>
      </c>
      <c r="F8" s="27" t="n">
        <f aca="false">gestion_taux*(F6+F7)+gestion_fixe*F5</f>
        <v>95837.1920975003</v>
      </c>
      <c r="G8" s="27" t="n">
        <f aca="false">gestion_taux*(G6+G7)+gestion_fixe*G5</f>
        <v>97753.9359394503</v>
      </c>
      <c r="H8" s="27" t="n">
        <f aca="false">gestion_taux*(H6+H7)+gestion_fixe*H5</f>
        <v>99709.0146582393</v>
      </c>
      <c r="I8" s="27" t="n">
        <f aca="false">gestion_taux*(I6+I7)+gestion_fixe*I5</f>
        <v>101703.194951404</v>
      </c>
      <c r="J8" s="27" t="n">
        <f aca="false">gestion_taux*(J6+J7)+gestion_fixe*J5</f>
        <v>103737.258850432</v>
      </c>
      <c r="K8" s="27" t="n">
        <f aca="false">gestion_taux*(K6+K7)+gestion_fixe*K5</f>
        <v>105812.004027441</v>
      </c>
    </row>
    <row r="9" customFormat="false" ht="15" hidden="false" customHeight="false" outlineLevel="0" collapsed="false">
      <c r="A9" s="28" t="s">
        <v>245</v>
      </c>
      <c r="B9" s="29" t="n">
        <f aca="false">SUM(B6:B8)</f>
        <v>1564184.6109375</v>
      </c>
      <c r="C9" s="29" t="n">
        <f aca="false">SUM(C6:C8)</f>
        <v>1595468.30315625</v>
      </c>
      <c r="D9" s="29" t="n">
        <f aca="false">SUM(D6:D8)</f>
        <v>1627377.66921938</v>
      </c>
      <c r="E9" s="29" t="n">
        <f aca="false">SUM(E6:E8)</f>
        <v>1659925.22260376</v>
      </c>
      <c r="F9" s="29" t="n">
        <f aca="false">SUM(F6:F8)</f>
        <v>1693123.72705584</v>
      </c>
      <c r="G9" s="29" t="n">
        <f aca="false">SUM(G6:G8)</f>
        <v>1726986.20159695</v>
      </c>
      <c r="H9" s="29" t="n">
        <f aca="false">SUM(H6:H8)</f>
        <v>1761525.92562889</v>
      </c>
      <c r="I9" s="29" t="n">
        <f aca="false">SUM(I6:I8)</f>
        <v>1796756.44414147</v>
      </c>
      <c r="J9" s="29" t="n">
        <f aca="false">SUM(J6:J8)</f>
        <v>1832691.5730243</v>
      </c>
      <c r="K9" s="29" t="n">
        <f aca="false">SUM(K6:K8)</f>
        <v>1869345.40448479</v>
      </c>
    </row>
    <row r="10" customFormat="false" ht="15" hidden="false" customHeight="false" outlineLevel="0" collapsed="false">
      <c r="A10" s="23" t="s">
        <v>246</v>
      </c>
      <c r="B10" s="26" t="n">
        <f aca="false">1</f>
        <v>1</v>
      </c>
      <c r="C10" s="26" t="n">
        <f aca="false">IF(revision=1,B10*MIN(1+cap_hausse,MAX(1-cap_baisse,B9*(1+provision)/B13)),B10)</f>
        <v>1.00421052631579</v>
      </c>
      <c r="D10" s="26" t="n">
        <f aca="false">IF(revision=1,C10*MIN(1+cap_hausse,MAX(1-cap_baisse,C9*(1+provision)/C13)),C10)</f>
        <v>1.02429473684211</v>
      </c>
      <c r="E10" s="26" t="n">
        <f aca="false">IF(revision=1,D10*MIN(1+cap_hausse,MAX(1-cap_baisse,D9*(1+provision)/D13)),D10)</f>
        <v>1.04478063157895</v>
      </c>
      <c r="F10" s="26" t="n">
        <f aca="false">IF(revision=1,E10*MIN(1+cap_hausse,MAX(1-cap_baisse,E9*(1+provision)/E13)),E10)</f>
        <v>1.06567624421053</v>
      </c>
      <c r="G10" s="26" t="n">
        <f aca="false">IF(revision=1,F10*MIN(1+cap_hausse,MAX(1-cap_baisse,F9*(1+provision)/F13)),F10)</f>
        <v>1.08698976909474</v>
      </c>
      <c r="H10" s="26" t="n">
        <f aca="false">IF(revision=1,G10*MIN(1+cap_hausse,MAX(1-cap_baisse,G9*(1+provision)/G13)),G10)</f>
        <v>1.10872956447663</v>
      </c>
      <c r="I10" s="26" t="n">
        <f aca="false">IF(revision=1,H10*MIN(1+cap_hausse,MAX(1-cap_baisse,H9*(1+provision)/H13)),H10)</f>
        <v>1.13090415576616</v>
      </c>
      <c r="J10" s="26" t="n">
        <f aca="false">IF(revision=1,I10*MIN(1+cap_hausse,MAX(1-cap_baisse,I9*(1+provision)/I13)),I10)</f>
        <v>1.15352223888149</v>
      </c>
      <c r="K10" s="26" t="n">
        <f aca="false">IF(revision=1,J10*MIN(1+cap_hausse,MAX(1-cap_baisse,J9*(1+provision)/J13)),J10)</f>
        <v>1.17659268365912</v>
      </c>
    </row>
    <row r="11" customFormat="false" ht="15" hidden="false" customHeight="false" outlineLevel="0" collapsed="false">
      <c r="A11" s="23" t="s">
        <v>247</v>
      </c>
      <c r="B11" s="31" t="n">
        <f aca="false">Cotisation!$C$30*n_leger*Cotisation!$C$5*B10</f>
        <v>683603.4616875</v>
      </c>
      <c r="C11" s="31" t="n">
        <f aca="false">Cotisation!$C$30*n_leger*Cotisation!$C$5*C10</f>
        <v>686481.7920525</v>
      </c>
      <c r="D11" s="31" t="n">
        <f aca="false">Cotisation!$C$30*n_leger*Cotisation!$C$5*D10</f>
        <v>700211.42789355</v>
      </c>
      <c r="E11" s="31" t="n">
        <f aca="false">Cotisation!$C$30*n_leger*Cotisation!$C$5*E10</f>
        <v>714215.656451421</v>
      </c>
      <c r="F11" s="31" t="n">
        <f aca="false">Cotisation!$C$30*n_leger*Cotisation!$C$5*F10</f>
        <v>728499.96958045</v>
      </c>
      <c r="G11" s="31" t="n">
        <f aca="false">Cotisation!$C$30*n_leger*Cotisation!$C$5*G10</f>
        <v>743069.968972059</v>
      </c>
      <c r="H11" s="31" t="n">
        <f aca="false">Cotisation!$C$30*n_leger*Cotisation!$C$5*H10</f>
        <v>757931.3683515</v>
      </c>
      <c r="I11" s="31" t="n">
        <f aca="false">Cotisation!$C$30*n_leger*Cotisation!$C$5*I10</f>
        <v>773089.99571853</v>
      </c>
      <c r="J11" s="31" t="n">
        <f aca="false">Cotisation!$C$30*n_leger*Cotisation!$C$5*J10</f>
        <v>788551.7956329</v>
      </c>
      <c r="K11" s="31" t="n">
        <f aca="false">Cotisation!$C$30*n_leger*Cotisation!$C$5*K10</f>
        <v>804322.831545559</v>
      </c>
    </row>
    <row r="12" customFormat="false" ht="15" hidden="false" customHeight="false" outlineLevel="0" collapsed="false">
      <c r="A12" s="23" t="s">
        <v>248</v>
      </c>
      <c r="B12" s="31" t="n">
        <f aca="false">Cotisation!$D$30*n_intensif*Cotisation!$D$5*B10</f>
        <v>998632.818000001</v>
      </c>
      <c r="C12" s="31" t="n">
        <f aca="false">Cotisation!$D$30*n_intensif*Cotisation!$D$5*C10</f>
        <v>1002837.58776</v>
      </c>
      <c r="D12" s="31" t="n">
        <f aca="false">Cotisation!$D$30*n_intensif*Cotisation!$D$5*D10</f>
        <v>1022894.3395152</v>
      </c>
      <c r="E12" s="31" t="n">
        <f aca="false">Cotisation!$D$30*n_intensif*Cotisation!$D$5*E10</f>
        <v>1043352.2263055</v>
      </c>
      <c r="F12" s="31" t="n">
        <f aca="false">Cotisation!$D$30*n_intensif*Cotisation!$D$5*F10</f>
        <v>1064219.27083161</v>
      </c>
      <c r="G12" s="31" t="n">
        <f aca="false">Cotisation!$D$30*n_intensif*Cotisation!$D$5*G10</f>
        <v>1085503.65624825</v>
      </c>
      <c r="H12" s="31" t="n">
        <f aca="false">Cotisation!$D$30*n_intensif*Cotisation!$D$5*H10</f>
        <v>1107213.72937321</v>
      </c>
      <c r="I12" s="31" t="n">
        <f aca="false">Cotisation!$D$30*n_intensif*Cotisation!$D$5*I10</f>
        <v>1129358.00396068</v>
      </c>
      <c r="J12" s="31" t="n">
        <f aca="false">Cotisation!$D$30*n_intensif*Cotisation!$D$5*J10</f>
        <v>1151945.16403989</v>
      </c>
      <c r="K12" s="31" t="n">
        <f aca="false">Cotisation!$D$30*n_intensif*Cotisation!$D$5*K10</f>
        <v>1174984.06732069</v>
      </c>
    </row>
    <row r="13" customFormat="false" ht="15" hidden="false" customHeight="false" outlineLevel="0" collapsed="false">
      <c r="A13" s="28" t="s">
        <v>249</v>
      </c>
      <c r="B13" s="29" t="n">
        <f aca="false">B11+B12</f>
        <v>1682236.2796875</v>
      </c>
      <c r="C13" s="29" t="n">
        <f aca="false">C11+C12</f>
        <v>1689319.3798125</v>
      </c>
      <c r="D13" s="29" t="n">
        <f aca="false">D11+D12</f>
        <v>1723105.76740875</v>
      </c>
      <c r="E13" s="29" t="n">
        <f aca="false">E11+E12</f>
        <v>1757567.88275693</v>
      </c>
      <c r="F13" s="29" t="n">
        <f aca="false">F11+F12</f>
        <v>1792719.24041206</v>
      </c>
      <c r="G13" s="29" t="n">
        <f aca="false">G11+G12</f>
        <v>1828573.62522031</v>
      </c>
      <c r="H13" s="29" t="n">
        <f aca="false">H11+H12</f>
        <v>1865145.09772471</v>
      </c>
      <c r="I13" s="29" t="n">
        <f aca="false">I11+I12</f>
        <v>1902447.99967921</v>
      </c>
      <c r="J13" s="29" t="n">
        <f aca="false">J11+J12</f>
        <v>1940496.95967279</v>
      </c>
      <c r="K13" s="29" t="n">
        <f aca="false">K11+K12</f>
        <v>1979306.89886625</v>
      </c>
    </row>
    <row r="14" customFormat="false" ht="15" hidden="false" customHeight="false" outlineLevel="0" collapsed="false">
      <c r="A14" s="28" t="s">
        <v>250</v>
      </c>
      <c r="B14" s="29" t="n">
        <f aca="false">B13-B9</f>
        <v>118051.668750001</v>
      </c>
      <c r="C14" s="29" t="n">
        <f aca="false">C13-C9</f>
        <v>93851.0766562501</v>
      </c>
      <c r="D14" s="29" t="n">
        <f aca="false">D13-D9</f>
        <v>95728.0981893751</v>
      </c>
      <c r="E14" s="29" t="n">
        <f aca="false">E13-E9</f>
        <v>97642.660153162</v>
      </c>
      <c r="F14" s="29" t="n">
        <f aca="false">F13-F9</f>
        <v>99595.5133562263</v>
      </c>
      <c r="G14" s="29" t="n">
        <f aca="false">G13-G9</f>
        <v>101587.42362335</v>
      </c>
      <c r="H14" s="29" t="n">
        <f aca="false">H13-H9</f>
        <v>103619.172095817</v>
      </c>
      <c r="I14" s="29" t="n">
        <f aca="false">I13-I9</f>
        <v>105691.555537733</v>
      </c>
      <c r="J14" s="29" t="n">
        <f aca="false">J13-J9</f>
        <v>107805.386648488</v>
      </c>
      <c r="K14" s="29" t="n">
        <f aca="false">K13-K9</f>
        <v>109961.494381458</v>
      </c>
    </row>
    <row r="15" customFormat="false" ht="15" hidden="false" customHeight="false" outlineLevel="0" collapsed="false">
      <c r="A15" s="23" t="s">
        <v>251</v>
      </c>
      <c r="B15" s="24" t="n">
        <f aca="false">IF(B13=0,0,B14/B13)</f>
        <v>0.0701754385964916</v>
      </c>
      <c r="C15" s="24" t="n">
        <f aca="false">IF(C13=0,0,C14/C13)</f>
        <v>0.0555555555555556</v>
      </c>
      <c r="D15" s="24" t="n">
        <f aca="false">IF(D13=0,0,D14/D13)</f>
        <v>0.0555555555555556</v>
      </c>
      <c r="E15" s="24" t="n">
        <f aca="false">IF(E13=0,0,E14/E13)</f>
        <v>0.0555555555555553</v>
      </c>
      <c r="F15" s="24" t="n">
        <f aca="false">IF(F13=0,0,F14/F13)</f>
        <v>0.0555555555555558</v>
      </c>
      <c r="G15" s="24" t="n">
        <f aca="false">IF(G13=0,0,G14/G13)</f>
        <v>0.0555555555555556</v>
      </c>
      <c r="H15" s="24" t="n">
        <f aca="false">IF(H13=0,0,H14/H13)</f>
        <v>0.0555555555555555</v>
      </c>
      <c r="I15" s="24" t="n">
        <f aca="false">IF(I13=0,0,I14/I13)</f>
        <v>0.0555555555555555</v>
      </c>
      <c r="J15" s="24" t="n">
        <f aca="false">IF(J13=0,0,J14/J13)</f>
        <v>0.0555555555555554</v>
      </c>
      <c r="K15" s="24" t="n">
        <f aca="false">IF(K13=0,0,K14/K13)</f>
        <v>0.0555555555555556</v>
      </c>
    </row>
    <row r="16" customFormat="false" ht="15" hidden="false" customHeight="false" outlineLevel="0" collapsed="false">
      <c r="A16" s="28" t="s">
        <v>252</v>
      </c>
      <c r="B16" s="29" t="n">
        <f aca="false">capital_initial+B14</f>
        <v>118051.668750001</v>
      </c>
      <c r="C16" s="29" t="n">
        <f aca="false">B16+C14</f>
        <v>211902.745406251</v>
      </c>
      <c r="D16" s="29" t="n">
        <f aca="false">C16+D14</f>
        <v>307630.843595626</v>
      </c>
      <c r="E16" s="29" t="n">
        <f aca="false">D16+E14</f>
        <v>405273.503748788</v>
      </c>
      <c r="F16" s="29" t="n">
        <f aca="false">E16+F14</f>
        <v>504869.017105014</v>
      </c>
      <c r="G16" s="29" t="n">
        <f aca="false">F16+G14</f>
        <v>606456.440728365</v>
      </c>
      <c r="H16" s="29" t="n">
        <f aca="false">G16+H14</f>
        <v>710075.612824182</v>
      </c>
      <c r="I16" s="29" t="n">
        <f aca="false">H16+I14</f>
        <v>815767.168361915</v>
      </c>
      <c r="J16" s="29" t="n">
        <f aca="false">I16+J14</f>
        <v>923572.555010403</v>
      </c>
      <c r="K16" s="29" t="n">
        <f aca="false">J16+K14</f>
        <v>1033534.04939186</v>
      </c>
    </row>
    <row r="17" customFormat="false" ht="15" hidden="false" customHeight="false" outlineLevel="0" collapsed="false">
      <c r="A17" s="23" t="s">
        <v>253</v>
      </c>
      <c r="B17" s="31" t="n">
        <f aca="false">Cotisation!$C$29*B10</f>
        <v>52.0948770623986</v>
      </c>
      <c r="C17" s="31" t="n">
        <f aca="false">Cotisation!$C$29*C10</f>
        <v>52.3142239131876</v>
      </c>
      <c r="D17" s="31" t="n">
        <f aca="false">Cotisation!$C$29*D10</f>
        <v>53.3605083914514</v>
      </c>
      <c r="E17" s="31" t="n">
        <f aca="false">Cotisation!$C$29*E10</f>
        <v>54.4277185592804</v>
      </c>
      <c r="F17" s="31" t="n">
        <f aca="false">Cotisation!$C$29*F10</f>
        <v>55.516272930466</v>
      </c>
      <c r="G17" s="31" t="n">
        <f aca="false">Cotisation!$C$29*G10</f>
        <v>56.6265983890753</v>
      </c>
      <c r="H17" s="31" t="n">
        <f aca="false">Cotisation!$C$29*H10</f>
        <v>57.7591303568568</v>
      </c>
      <c r="I17" s="31" t="n">
        <f aca="false">Cotisation!$C$29*I10</f>
        <v>58.914312963994</v>
      </c>
      <c r="J17" s="31" t="n">
        <f aca="false">Cotisation!$C$29*J10</f>
        <v>60.0925992232738</v>
      </c>
      <c r="K17" s="31" t="n">
        <f aca="false">Cotisation!$C$29*K10</f>
        <v>61.2944512077393</v>
      </c>
    </row>
    <row r="18" customFormat="false" ht="15" hidden="false" customHeight="false" outlineLevel="0" collapsed="false">
      <c r="A18" s="23" t="s">
        <v>254</v>
      </c>
      <c r="B18" s="31" t="n">
        <f aca="false">Cotisation!$D$29*B10</f>
        <v>114.190171832591</v>
      </c>
      <c r="C18" s="31" t="n">
        <f aca="false">Cotisation!$D$29*C10</f>
        <v>114.670972556097</v>
      </c>
      <c r="D18" s="31" t="n">
        <f aca="false">Cotisation!$D$29*D10</f>
        <v>116.964392007218</v>
      </c>
      <c r="E18" s="31" t="n">
        <f aca="false">Cotisation!$D$29*E10</f>
        <v>119.303679847363</v>
      </c>
      <c r="F18" s="31" t="n">
        <f aca="false">Cotisation!$D$29*F10</f>
        <v>121.68975344431</v>
      </c>
      <c r="G18" s="31" t="n">
        <f aca="false">Cotisation!$D$29*G10</f>
        <v>124.123548513196</v>
      </c>
      <c r="H18" s="31" t="n">
        <f aca="false">Cotisation!$D$29*H10</f>
        <v>126.60601948346</v>
      </c>
      <c r="I18" s="31" t="n">
        <f aca="false">Cotisation!$D$29*I10</f>
        <v>129.138139873129</v>
      </c>
      <c r="J18" s="31" t="n">
        <f aca="false">Cotisation!$D$29*J10</f>
        <v>131.720902670592</v>
      </c>
      <c r="K18" s="31" t="n">
        <f aca="false">Cotisation!$D$29*K10</f>
        <v>134.355320724004</v>
      </c>
    </row>
    <row r="19" customFormat="false" ht="15" hidden="false" customHeight="false" outlineLevel="0" collapsed="false">
      <c r="A19" s="23" t="s">
        <v>255</v>
      </c>
      <c r="B19" s="31" t="n">
        <f aca="false">(SUM(Cotisation!$C$10:$C$12)*n_leger+SUM(Cotisation!$D$10:$D$12)*n_intensif)*B5/n_ateliers</f>
        <v>20560.946484375</v>
      </c>
      <c r="C19" s="31" t="n">
        <f aca="false">(SUM(Cotisation!$C$10:$C$12)*n_leger+SUM(Cotisation!$D$10:$D$12)*n_intensif)*C5/n_ateliers</f>
        <v>20972.1654140625</v>
      </c>
      <c r="D19" s="31" t="n">
        <f aca="false">(SUM(Cotisation!$C$10:$C$12)*n_leger+SUM(Cotisation!$D$10:$D$12)*n_intensif)*D5/n_ateliers</f>
        <v>21391.6087223438</v>
      </c>
      <c r="E19" s="31" t="n">
        <f aca="false">(SUM(Cotisation!$C$10:$C$12)*n_leger+SUM(Cotisation!$D$10:$D$12)*n_intensif)*E5/n_ateliers</f>
        <v>21819.4408967906</v>
      </c>
      <c r="F19" s="31" t="n">
        <f aca="false">(SUM(Cotisation!$C$10:$C$12)*n_leger+SUM(Cotisation!$D$10:$D$12)*n_intensif)*F5/n_ateliers</f>
        <v>22255.8297147265</v>
      </c>
      <c r="G19" s="31" t="n">
        <f aca="false">(SUM(Cotisation!$C$10:$C$12)*n_leger+SUM(Cotisation!$D$10:$D$12)*n_intensif)*G5/n_ateliers</f>
        <v>22700.946309021</v>
      </c>
      <c r="H19" s="31" t="n">
        <f aca="false">(SUM(Cotisation!$C$10:$C$12)*n_leger+SUM(Cotisation!$D$10:$D$12)*n_intensif)*H5/n_ateliers</f>
        <v>23154.9652352014</v>
      </c>
      <c r="I19" s="31" t="n">
        <f aca="false">(SUM(Cotisation!$C$10:$C$12)*n_leger+SUM(Cotisation!$D$10:$D$12)*n_intensif)*I5/n_ateliers</f>
        <v>23618.0645399054</v>
      </c>
      <c r="J19" s="31" t="n">
        <f aca="false">(SUM(Cotisation!$C$10:$C$12)*n_leger+SUM(Cotisation!$D$10:$D$12)*n_intensif)*J5/n_ateliers</f>
        <v>24090.4258307035</v>
      </c>
      <c r="K19" s="31" t="n">
        <f aca="false">(SUM(Cotisation!$C$10:$C$12)*n_leger+SUM(Cotisation!$D$10:$D$12)*n_intensif)*K5/n_ateliers</f>
        <v>24572.2343473176</v>
      </c>
    </row>
    <row r="20" customFormat="false" ht="15" hidden="false" customHeight="false" outlineLevel="0" collapsed="false">
      <c r="A20" s="23" t="s">
        <v>256</v>
      </c>
      <c r="B20" s="31" t="n">
        <f aca="false">(Cotisation!$C$15+Cotisation!$C$16)*n_leger+(Cotisation!$D$15+Cotisation!$D$16)*n_intensif</f>
        <v>196968</v>
      </c>
      <c r="C20" s="31" t="n">
        <f aca="false">(Cotisation!$C$15+Cotisation!$C$16)*n_leger+(Cotisation!$D$15+Cotisation!$D$16)*n_intensif</f>
        <v>196968</v>
      </c>
      <c r="D20" s="31" t="n">
        <f aca="false">(Cotisation!$C$15+Cotisation!$C$16)*n_leger+(Cotisation!$D$15+Cotisation!$D$16)*n_intensif</f>
        <v>196968</v>
      </c>
      <c r="E20" s="31" t="n">
        <f aca="false">(Cotisation!$C$15+Cotisation!$C$16)*n_leger+(Cotisation!$D$15+Cotisation!$D$16)*n_intensif</f>
        <v>196968</v>
      </c>
      <c r="F20" s="31" t="n">
        <f aca="false">(Cotisation!$C$15+Cotisation!$C$16)*n_leger+(Cotisation!$D$15+Cotisation!$D$16)*n_intensif</f>
        <v>196968</v>
      </c>
      <c r="G20" s="31" t="n">
        <f aca="false">(Cotisation!$C$15+Cotisation!$C$16)*n_leger+(Cotisation!$D$15+Cotisation!$D$16)*n_intensif</f>
        <v>196968</v>
      </c>
      <c r="H20" s="31" t="n">
        <f aca="false">(Cotisation!$C$15+Cotisation!$C$16)*n_leger+(Cotisation!$D$15+Cotisation!$D$16)*n_intensif</f>
        <v>196968</v>
      </c>
      <c r="I20" s="31" t="n">
        <f aca="false">(Cotisation!$C$15+Cotisation!$C$16)*n_leger+(Cotisation!$D$15+Cotisation!$D$16)*n_intensif</f>
        <v>196968</v>
      </c>
      <c r="J20" s="31" t="n">
        <f aca="false">(Cotisation!$C$15+Cotisation!$C$16)*n_leger+(Cotisation!$D$15+Cotisation!$D$16)*n_intensif</f>
        <v>196968</v>
      </c>
      <c r="K20" s="31" t="n">
        <f aca="false">(Cotisation!$C$15+Cotisation!$C$16)*n_leger+(Cotisation!$D$15+Cotisation!$D$16)*n_intensif</f>
        <v>196968</v>
      </c>
    </row>
    <row r="22" customFormat="false" ht="15" hidden="false" customHeight="false" outlineLevel="0" collapsed="false">
      <c r="A22" s="28" t="s">
        <v>257</v>
      </c>
      <c r="B22" s="34" t="n">
        <f aca="false">MIN(B16:K16)</f>
        <v>118051.668750001</v>
      </c>
    </row>
    <row r="23" customFormat="false" ht="15" hidden="false" customHeight="false" outlineLevel="0" collapsed="false">
      <c r="A23" s="28" t="s">
        <v>258</v>
      </c>
      <c r="B23" s="35" t="n">
        <f aca="false">SUM(B14:K14)/SUM(B13:K13)</f>
        <v>0.0569097875456063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6" min="4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3" min="12" style="0" width="15"/>
    <col collapsed="false" customWidth="true" hidden="false" outlineLevel="0" max="16" min="14" style="0" width="11"/>
    <col collapsed="false" customWidth="true" hidden="false" outlineLevel="0" max="19" min="17" style="0" width="12"/>
    <col collapsed="false" customWidth="true" hidden="false" outlineLevel="0" max="20" min="20" style="0" width="14"/>
    <col collapsed="false" customWidth="true" hidden="false" outlineLevel="0" max="21" min="21" style="0" width="13"/>
  </cols>
  <sheetData>
    <row r="1" customFormat="false" ht="17.35" hidden="false" customHeight="false" outlineLevel="0" collapsed="false">
      <c r="A1" s="6" t="s">
        <v>259</v>
      </c>
    </row>
    <row r="2" customFormat="false" ht="15" hidden="false" customHeight="false" outlineLevel="0" collapsed="false">
      <c r="A2" s="7" t="s">
        <v>260</v>
      </c>
    </row>
    <row r="4" customFormat="false" ht="45" hidden="false" customHeight="true" outlineLevel="0" collapsed="false">
      <c r="A4" s="8" t="s">
        <v>261</v>
      </c>
      <c r="B4" s="8" t="s">
        <v>262</v>
      </c>
      <c r="C4" s="8" t="s">
        <v>263</v>
      </c>
      <c r="D4" s="8" t="s">
        <v>264</v>
      </c>
      <c r="E4" s="8" t="s">
        <v>265</v>
      </c>
      <c r="F4" s="8" t="s">
        <v>266</v>
      </c>
      <c r="G4" s="8" t="s">
        <v>267</v>
      </c>
      <c r="H4" s="8" t="s">
        <v>268</v>
      </c>
      <c r="I4" s="8" t="s">
        <v>269</v>
      </c>
      <c r="J4" s="8" t="s">
        <v>270</v>
      </c>
      <c r="K4" s="8" t="s">
        <v>271</v>
      </c>
      <c r="L4" s="8" t="s">
        <v>272</v>
      </c>
      <c r="M4" s="8" t="s">
        <v>273</v>
      </c>
      <c r="N4" s="8" t="s">
        <v>274</v>
      </c>
      <c r="O4" s="8" t="s">
        <v>275</v>
      </c>
      <c r="P4" s="8" t="s">
        <v>276</v>
      </c>
      <c r="Q4" s="8" t="s">
        <v>277</v>
      </c>
      <c r="R4" s="8" t="s">
        <v>278</v>
      </c>
      <c r="S4" s="8" t="s">
        <v>279</v>
      </c>
      <c r="T4" s="8" t="s">
        <v>280</v>
      </c>
      <c r="U4" s="8" t="s">
        <v>281</v>
      </c>
    </row>
    <row r="5" customFormat="false" ht="15" hidden="false" customHeight="false" outlineLevel="0" collapsed="false">
      <c r="A5" s="9" t="s">
        <v>282</v>
      </c>
      <c r="B5" s="9" t="s">
        <v>283</v>
      </c>
      <c r="C5" s="36" t="s">
        <v>284</v>
      </c>
      <c r="D5" s="24" t="n">
        <v>0.09565</v>
      </c>
      <c r="E5" s="24" t="n">
        <v>0.09105</v>
      </c>
      <c r="F5" s="24" t="n">
        <v>0.0561039151951963</v>
      </c>
      <c r="G5" s="27" t="n">
        <v>81431.6236114668</v>
      </c>
      <c r="H5" s="27" t="n">
        <v>40.7158118057334</v>
      </c>
      <c r="I5" s="26" t="n">
        <v>1.05</v>
      </c>
      <c r="J5" s="27" t="n">
        <v>63409.921299278</v>
      </c>
      <c r="K5" s="27" t="n">
        <v>-137833.388055701</v>
      </c>
      <c r="L5" s="27" t="n">
        <v>635569.824708976</v>
      </c>
      <c r="M5" s="27" t="n">
        <v>328742.035549365</v>
      </c>
      <c r="N5" s="24" t="n">
        <v>1</v>
      </c>
      <c r="O5" s="27" t="n">
        <v>35.9166666666667</v>
      </c>
      <c r="P5" s="27" t="n">
        <v>63.75</v>
      </c>
      <c r="Q5" s="27" t="n">
        <v>35.9166666666667</v>
      </c>
      <c r="R5" s="27" t="n">
        <v>63.75</v>
      </c>
      <c r="S5" s="27" t="n">
        <v>63.75</v>
      </c>
      <c r="T5" s="27" t="n">
        <v>1129156.92823139</v>
      </c>
      <c r="U5" s="27" t="n">
        <v>19350.900216863</v>
      </c>
    </row>
    <row r="6" customFormat="false" ht="15" hidden="false" customHeight="false" outlineLevel="0" collapsed="false">
      <c r="A6" s="9" t="s">
        <v>285</v>
      </c>
      <c r="B6" s="9" t="s">
        <v>286</v>
      </c>
      <c r="C6" s="36" t="s">
        <v>287</v>
      </c>
      <c r="D6" s="24" t="n">
        <v>1</v>
      </c>
      <c r="E6" s="24" t="n">
        <v>1</v>
      </c>
      <c r="F6" s="24" t="n">
        <v>-0.651282642575522</v>
      </c>
      <c r="G6" s="27" t="n">
        <v>7288388.31132301</v>
      </c>
      <c r="H6" s="27" t="n">
        <v>3644.19415566151</v>
      </c>
      <c r="I6" s="26" t="n">
        <v>1.736</v>
      </c>
      <c r="J6" s="27" t="n">
        <v>-666961.903833028</v>
      </c>
      <c r="K6" s="27" t="n">
        <v>-1069620.19894369</v>
      </c>
      <c r="L6" s="27" t="n">
        <v>-6662755.95466603</v>
      </c>
      <c r="M6" s="27" t="n">
        <v>-7098237.35630718</v>
      </c>
      <c r="N6" s="24" t="n">
        <v>0.937499995</v>
      </c>
      <c r="O6" s="27" t="n">
        <v>35.9166666666667</v>
      </c>
      <c r="P6" s="27" t="n">
        <v>63.75</v>
      </c>
      <c r="Q6" s="27" t="n">
        <v>35.9166666666667</v>
      </c>
      <c r="R6" s="27" t="n">
        <v>63.75</v>
      </c>
      <c r="S6" s="27" t="n">
        <v>63.75</v>
      </c>
      <c r="T6" s="27" t="n">
        <v>1024240.63113564</v>
      </c>
      <c r="U6" s="27" t="n">
        <v>18260.6860558402</v>
      </c>
    </row>
    <row r="7" customFormat="false" ht="15" hidden="false" customHeight="false" outlineLevel="0" collapsed="false">
      <c r="A7" s="9" t="s">
        <v>288</v>
      </c>
      <c r="B7" s="9" t="s">
        <v>289</v>
      </c>
      <c r="C7" s="36" t="s">
        <v>290</v>
      </c>
      <c r="D7" s="24" t="n">
        <v>0.00015</v>
      </c>
      <c r="E7" s="24" t="n">
        <v>0</v>
      </c>
      <c r="F7" s="24" t="n">
        <v>0.0550234264857347</v>
      </c>
      <c r="G7" s="27" t="n">
        <v>0</v>
      </c>
      <c r="H7" s="27" t="n">
        <v>0</v>
      </c>
      <c r="I7" s="26" t="n">
        <v>0.936</v>
      </c>
      <c r="J7" s="27" t="n">
        <v>97877.0510511842</v>
      </c>
      <c r="K7" s="27" t="n">
        <v>-246364.632501419</v>
      </c>
      <c r="L7" s="27" t="n">
        <v>987371.934133527</v>
      </c>
      <c r="M7" s="27" t="n">
        <v>769603.266553353</v>
      </c>
      <c r="N7" s="24" t="n">
        <v>0.9274361475</v>
      </c>
      <c r="O7" s="27" t="n">
        <v>52.0948770623986</v>
      </c>
      <c r="P7" s="27" t="n">
        <v>114.190171832591</v>
      </c>
      <c r="Q7" s="27" t="n">
        <v>65.5111607570629</v>
      </c>
      <c r="R7" s="27" t="n">
        <v>125.178078013744</v>
      </c>
      <c r="S7" s="27" t="n">
        <v>133.800991586323</v>
      </c>
      <c r="T7" s="27" t="n">
        <v>1680653.51278155</v>
      </c>
      <c r="U7" s="27" t="n">
        <v>18260.6860558402</v>
      </c>
    </row>
    <row r="8" customFormat="false" ht="15" hidden="false" customHeight="false" outlineLevel="0" collapsed="false">
      <c r="A8" s="9" t="s">
        <v>291</v>
      </c>
      <c r="B8" s="9" t="s">
        <v>292</v>
      </c>
      <c r="C8" s="36" t="s">
        <v>293</v>
      </c>
      <c r="D8" s="24" t="n">
        <v>0.65035</v>
      </c>
      <c r="E8" s="24" t="n">
        <v>0</v>
      </c>
      <c r="F8" s="24" t="n">
        <v>-0.00627419969682119</v>
      </c>
      <c r="G8" s="27" t="n">
        <v>723113.996942363</v>
      </c>
      <c r="H8" s="27" t="n">
        <v>361.556998471182</v>
      </c>
      <c r="I8" s="26" t="n">
        <v>1.044</v>
      </c>
      <c r="J8" s="27" t="n">
        <v>-10539.6469355711</v>
      </c>
      <c r="K8" s="27" t="n">
        <v>-411874.302816774</v>
      </c>
      <c r="L8" s="27" t="n">
        <v>-99421.8985943864</v>
      </c>
      <c r="M8" s="27" t="n">
        <v>-532802.340256829</v>
      </c>
      <c r="N8" s="24" t="n">
        <v>0.937499995</v>
      </c>
      <c r="O8" s="27" t="n">
        <v>52.0948770623986</v>
      </c>
      <c r="P8" s="27" t="n">
        <v>114.190171832591</v>
      </c>
      <c r="Q8" s="27" t="n">
        <v>52.0948770623986</v>
      </c>
      <c r="R8" s="27" t="n">
        <v>114.190171832591</v>
      </c>
      <c r="S8" s="27" t="n">
        <v>114.190171832591</v>
      </c>
      <c r="T8" s="27" t="n">
        <v>1680653.51278155</v>
      </c>
      <c r="U8" s="27" t="n">
        <v>18260.6860558402</v>
      </c>
    </row>
    <row r="9" customFormat="false" ht="15" hidden="false" customHeight="false" outlineLevel="0" collapsed="false">
      <c r="A9" s="9" t="s">
        <v>294</v>
      </c>
      <c r="B9" s="9" t="s">
        <v>295</v>
      </c>
      <c r="C9" s="36" t="s">
        <v>296</v>
      </c>
      <c r="D9" s="24" t="n">
        <v>0.0003</v>
      </c>
      <c r="E9" s="24" t="n">
        <v>0</v>
      </c>
      <c r="F9" s="24" t="n">
        <v>0.053522448096553</v>
      </c>
      <c r="G9" s="27" t="n">
        <v>0</v>
      </c>
      <c r="H9" s="27" t="n">
        <v>0</v>
      </c>
      <c r="I9" s="26" t="n">
        <v>0.944</v>
      </c>
      <c r="J9" s="27" t="n">
        <v>95869.8960456592</v>
      </c>
      <c r="K9" s="27" t="n">
        <v>-245624.215467201</v>
      </c>
      <c r="L9" s="27" t="n">
        <v>965995.530041998</v>
      </c>
      <c r="M9" s="27" t="n">
        <v>755107.388792075</v>
      </c>
      <c r="N9" s="24" t="n">
        <v>0.9238547425</v>
      </c>
      <c r="O9" s="27" t="n">
        <v>52.0948770623986</v>
      </c>
      <c r="P9" s="27" t="n">
        <v>114.190171832591</v>
      </c>
      <c r="Q9" s="27" t="n">
        <v>66.4453744114099</v>
      </c>
      <c r="R9" s="27" t="n">
        <v>126.879105513328</v>
      </c>
      <c r="S9" s="27" t="n">
        <v>135.709278598914</v>
      </c>
      <c r="T9" s="27" t="n">
        <v>1680672.2338415</v>
      </c>
      <c r="U9" s="27" t="n">
        <v>18260.9575529161</v>
      </c>
    </row>
    <row r="10" customFormat="false" ht="15" hidden="false" customHeight="false" outlineLevel="0" collapsed="false">
      <c r="A10" s="9" t="s">
        <v>297</v>
      </c>
      <c r="B10" s="9" t="s">
        <v>298</v>
      </c>
      <c r="C10" s="36" t="s">
        <v>299</v>
      </c>
      <c r="D10" s="24" t="n">
        <v>0.0059</v>
      </c>
      <c r="E10" s="24" t="n">
        <v>0.0012</v>
      </c>
      <c r="F10" s="24" t="n">
        <v>0.0457137062591439</v>
      </c>
      <c r="G10" s="27" t="n">
        <v>0</v>
      </c>
      <c r="H10" s="27" t="n">
        <v>0</v>
      </c>
      <c r="I10" s="26" t="n">
        <v>0.991</v>
      </c>
      <c r="J10" s="27" t="n">
        <v>83895.2116461366</v>
      </c>
      <c r="K10" s="27" t="n">
        <v>-240011.706716576</v>
      </c>
      <c r="L10" s="27" t="n">
        <v>846253.626383299</v>
      </c>
      <c r="M10" s="27" t="n">
        <v>638225.530218996</v>
      </c>
      <c r="N10" s="24" t="n">
        <v>0.897108145</v>
      </c>
      <c r="O10" s="27" t="n">
        <v>52.0948770623986</v>
      </c>
      <c r="P10" s="27" t="n">
        <v>114.190171832591</v>
      </c>
      <c r="Q10" s="27" t="n">
        <v>71.4677064555855</v>
      </c>
      <c r="R10" s="27" t="n">
        <v>135.892583947656</v>
      </c>
      <c r="S10" s="27" t="n">
        <v>145.42496469005</v>
      </c>
      <c r="T10" s="27" t="n">
        <v>1680695.84421054</v>
      </c>
      <c r="U10" s="27" t="n">
        <v>18261.014986988</v>
      </c>
    </row>
    <row r="11" customFormat="false" ht="15" hidden="false" customHeight="false" outlineLevel="0" collapsed="false">
      <c r="A11" s="9" t="s">
        <v>300</v>
      </c>
      <c r="B11" s="9" t="s">
        <v>301</v>
      </c>
      <c r="C11" s="36" t="s">
        <v>302</v>
      </c>
      <c r="D11" s="24" t="n">
        <v>0.54365</v>
      </c>
      <c r="E11" s="24" t="n">
        <v>0.2424</v>
      </c>
      <c r="F11" s="24" t="n">
        <v>0.0252495541168132</v>
      </c>
      <c r="G11" s="27" t="n">
        <v>352916.011443604</v>
      </c>
      <c r="H11" s="27" t="n">
        <v>176.458005721802</v>
      </c>
      <c r="I11" s="26" t="n">
        <v>1.142</v>
      </c>
      <c r="J11" s="27" t="n">
        <v>46308.737469098</v>
      </c>
      <c r="K11" s="27" t="n">
        <v>-335404.946814293</v>
      </c>
      <c r="L11" s="27" t="n">
        <v>476075.374187782</v>
      </c>
      <c r="M11" s="27" t="n">
        <v>160786.343918182</v>
      </c>
      <c r="N11" s="24" t="n">
        <v>0.817706955</v>
      </c>
      <c r="O11" s="27" t="n">
        <v>52.0948770623986</v>
      </c>
      <c r="P11" s="27" t="n">
        <v>114.190171832591</v>
      </c>
      <c r="Q11" s="27" t="n">
        <v>84.3356148314581</v>
      </c>
      <c r="R11" s="27" t="n">
        <v>153.8366472515</v>
      </c>
      <c r="S11" s="27" t="n">
        <v>167.545765509969</v>
      </c>
      <c r="T11" s="27" t="n">
        <v>1680653.51278155</v>
      </c>
      <c r="U11" s="27" t="n">
        <v>22911.4896770408</v>
      </c>
    </row>
    <row r="12" customFormat="false" ht="15" hidden="false" customHeight="false" outlineLevel="0" collapsed="false">
      <c r="A12" s="9" t="s">
        <v>303</v>
      </c>
      <c r="B12" s="9" t="s">
        <v>304</v>
      </c>
      <c r="C12" s="36" t="s">
        <v>305</v>
      </c>
      <c r="D12" s="24" t="n">
        <v>0.80825</v>
      </c>
      <c r="E12" s="24" t="n">
        <v>0.62905</v>
      </c>
      <c r="F12" s="24" t="n">
        <v>0.0120282218126573</v>
      </c>
      <c r="G12" s="27" t="n">
        <v>454755.353684571</v>
      </c>
      <c r="H12" s="27" t="n">
        <v>227.377676842286</v>
      </c>
      <c r="I12" s="26" t="n">
        <v>1.239</v>
      </c>
      <c r="J12" s="27" t="n">
        <v>22005.6158305082</v>
      </c>
      <c r="K12" s="27" t="n">
        <v>-240511.787360574</v>
      </c>
      <c r="L12" s="27" t="n">
        <v>258983.060425297</v>
      </c>
      <c r="M12" s="27" t="n">
        <v>-251991.72972662</v>
      </c>
      <c r="N12" s="24" t="n">
        <v>0.7780149</v>
      </c>
      <c r="O12" s="27" t="n">
        <v>52.0948770623986</v>
      </c>
      <c r="P12" s="27" t="n">
        <v>114.190171832591</v>
      </c>
      <c r="Q12" s="27" t="n">
        <v>80.0018833952759</v>
      </c>
      <c r="R12" s="27" t="n">
        <v>195.748385844858</v>
      </c>
      <c r="S12" s="27" t="n">
        <v>244.605056101095</v>
      </c>
      <c r="T12" s="27" t="n">
        <v>1680653.51278155</v>
      </c>
      <c r="U12" s="27" t="n">
        <v>18260.6860558402</v>
      </c>
    </row>
    <row r="13" customFormat="false" ht="15" hidden="false" customHeight="false" outlineLevel="0" collapsed="false">
      <c r="A13" s="9" t="s">
        <v>306</v>
      </c>
      <c r="B13" s="9" t="s">
        <v>307</v>
      </c>
      <c r="C13" s="36" t="s">
        <v>308</v>
      </c>
      <c r="D13" s="24" t="n">
        <v>0.12735</v>
      </c>
      <c r="E13" s="24" t="n">
        <v>0</v>
      </c>
      <c r="F13" s="24" t="n">
        <v>0.0409585336157317</v>
      </c>
      <c r="G13" s="27" t="n">
        <v>193091.52975515</v>
      </c>
      <c r="H13" s="27" t="n">
        <v>96.5457648775749</v>
      </c>
      <c r="I13" s="26" t="n">
        <v>1.072</v>
      </c>
      <c r="J13" s="27" t="n">
        <v>73729.2650295022</v>
      </c>
      <c r="K13" s="27" t="n">
        <v>-343388.683505953</v>
      </c>
      <c r="L13" s="27" t="n">
        <v>747645.161742967</v>
      </c>
      <c r="M13" s="27" t="n">
        <v>445145.664758231</v>
      </c>
      <c r="N13" s="24" t="n">
        <v>0.917424665</v>
      </c>
      <c r="O13" s="27" t="n">
        <v>52.0948770623986</v>
      </c>
      <c r="P13" s="27" t="n">
        <v>114.190171832591</v>
      </c>
      <c r="Q13" s="27" t="n">
        <v>65.4774509255022</v>
      </c>
      <c r="R13" s="27" t="n">
        <v>138.744000847238</v>
      </c>
      <c r="S13" s="27" t="n">
        <v>148.450103152031</v>
      </c>
      <c r="T13" s="27" t="n">
        <v>1680653.51278155</v>
      </c>
      <c r="U13" s="27" t="n">
        <v>18260.6860558402</v>
      </c>
    </row>
    <row r="14" customFormat="false" ht="15" hidden="false" customHeight="false" outlineLevel="0" collapsed="false">
      <c r="A14" s="9" t="s">
        <v>309</v>
      </c>
      <c r="B14" s="9" t="s">
        <v>310</v>
      </c>
      <c r="C14" s="36" t="s">
        <v>311</v>
      </c>
      <c r="D14" s="24" t="n">
        <v>1</v>
      </c>
      <c r="E14" s="24" t="n">
        <v>0.82475</v>
      </c>
      <c r="F14" s="24" t="n">
        <v>-0.0863427754563084</v>
      </c>
      <c r="G14" s="27" t="n">
        <v>1875592.88458576</v>
      </c>
      <c r="H14" s="27" t="n">
        <v>937.796442292882</v>
      </c>
      <c r="I14" s="26" t="s">
        <v>312</v>
      </c>
      <c r="J14" s="27" t="n">
        <v>-137129.635023073</v>
      </c>
      <c r="K14" s="27" t="n">
        <v>-611987.058049646</v>
      </c>
      <c r="L14" s="27" t="n">
        <v>-1380818.33417931</v>
      </c>
      <c r="M14" s="27" t="n">
        <v>-1761724.65268406</v>
      </c>
      <c r="N14" s="24" t="n">
        <v>0.7697569225</v>
      </c>
      <c r="O14" s="27" t="n">
        <v>52.0948770623986</v>
      </c>
      <c r="P14" s="27" t="n">
        <v>114.190171832591</v>
      </c>
      <c r="Q14" s="27" t="n">
        <v>69.3844116280847</v>
      </c>
      <c r="R14" s="27" t="n">
        <v>261.248842320276</v>
      </c>
      <c r="S14" s="27" t="n">
        <v>269.254452007551</v>
      </c>
      <c r="T14" s="27" t="n">
        <v>1680653.51278155</v>
      </c>
      <c r="U14" s="27" t="n">
        <v>18260.6860558402</v>
      </c>
    </row>
    <row r="15" customFormat="false" ht="15" hidden="false" customHeight="false" outlineLevel="0" collapsed="false">
      <c r="A15" s="9" t="s">
        <v>313</v>
      </c>
      <c r="B15" s="9" t="s">
        <v>314</v>
      </c>
      <c r="C15" s="36" t="s">
        <v>315</v>
      </c>
      <c r="D15" s="24" t="n">
        <v>1</v>
      </c>
      <c r="E15" s="24" t="n">
        <v>0</v>
      </c>
      <c r="F15" s="24" t="n">
        <v>-0.0773239870909598</v>
      </c>
      <c r="G15" s="27" t="n">
        <v>1876476.19087434</v>
      </c>
      <c r="H15" s="27" t="n">
        <v>938.23809543717</v>
      </c>
      <c r="I15" s="26" t="s">
        <v>312</v>
      </c>
      <c r="J15" s="27" t="n">
        <v>-121048.091810633</v>
      </c>
      <c r="K15" s="27" t="n">
        <v>-653920.187777294</v>
      </c>
      <c r="L15" s="27" t="n">
        <v>-1216315.19773193</v>
      </c>
      <c r="M15" s="27" t="n">
        <v>-1712372.87067987</v>
      </c>
      <c r="N15" s="24" t="n">
        <v>0.7531725425</v>
      </c>
      <c r="O15" s="27" t="n">
        <v>54.8728580147795</v>
      </c>
      <c r="P15" s="27" t="n">
        <v>147.700975914224</v>
      </c>
      <c r="Q15" s="27" t="n">
        <v>69.1123673886024</v>
      </c>
      <c r="R15" s="27" t="n">
        <v>269.461484889007</v>
      </c>
      <c r="S15" s="27" t="n">
        <v>284.665395386753</v>
      </c>
      <c r="T15" s="27" t="n">
        <v>2012654.33891269</v>
      </c>
      <c r="U15" s="27" t="n">
        <v>18260.6860558402</v>
      </c>
    </row>
    <row r="16" customFormat="false" ht="15" hidden="false" customHeight="false" outlineLevel="0" collapsed="false">
      <c r="A16" s="9" t="s">
        <v>316</v>
      </c>
      <c r="B16" s="9" t="s">
        <v>317</v>
      </c>
      <c r="C16" s="36" t="s">
        <v>318</v>
      </c>
      <c r="D16" s="24" t="n">
        <v>0.00115</v>
      </c>
      <c r="E16" s="24" t="n">
        <v>0.0001</v>
      </c>
      <c r="F16" s="24" t="n">
        <v>0.0508153655719922</v>
      </c>
      <c r="G16" s="27" t="n">
        <v>0</v>
      </c>
      <c r="H16" s="27" t="n">
        <v>0</v>
      </c>
      <c r="I16" s="26" t="n">
        <v>0.959</v>
      </c>
      <c r="J16" s="27" t="n">
        <v>92133.1230070195</v>
      </c>
      <c r="K16" s="27" t="n">
        <v>-240147.557606597</v>
      </c>
      <c r="L16" s="27" t="n">
        <v>929311.522885717</v>
      </c>
      <c r="M16" s="27" t="n">
        <v>721350.189749394</v>
      </c>
      <c r="N16" s="24" t="n">
        <v>0.9164084625</v>
      </c>
      <c r="O16" s="27" t="n">
        <v>52.0948770623986</v>
      </c>
      <c r="P16" s="27" t="n">
        <v>114.190171832591</v>
      </c>
      <c r="Q16" s="27" t="n">
        <v>67.8263637437447</v>
      </c>
      <c r="R16" s="27" t="n">
        <v>130.747485508405</v>
      </c>
      <c r="S16" s="27" t="n">
        <v>139.851150343115</v>
      </c>
      <c r="T16" s="27" t="n">
        <v>1680653.51278155</v>
      </c>
      <c r="U16" s="27" t="n">
        <v>18260.6860558402</v>
      </c>
    </row>
    <row r="17" customFormat="false" ht="15" hidden="false" customHeight="false" outlineLevel="0" collapsed="false">
      <c r="A17" s="9" t="s">
        <v>319</v>
      </c>
      <c r="B17" s="9" t="s">
        <v>320</v>
      </c>
      <c r="C17" s="36" t="s">
        <v>321</v>
      </c>
      <c r="D17" s="24" t="n">
        <v>0.00095</v>
      </c>
      <c r="E17" s="24" t="n">
        <v>0</v>
      </c>
      <c r="F17" s="24" t="n">
        <v>0.0499111746981714</v>
      </c>
      <c r="G17" s="27" t="n">
        <v>0</v>
      </c>
      <c r="H17" s="27" t="n">
        <v>0</v>
      </c>
      <c r="I17" s="26" t="n">
        <v>0.955</v>
      </c>
      <c r="J17" s="27" t="n">
        <v>90153.0918230334</v>
      </c>
      <c r="K17" s="27" t="n">
        <v>-247886.10459374</v>
      </c>
      <c r="L17" s="27" t="n">
        <v>909967.500961738</v>
      </c>
      <c r="M17" s="27" t="n">
        <v>698642.142743863</v>
      </c>
      <c r="N17" s="24" t="n">
        <v>0.918683225</v>
      </c>
      <c r="O17" s="27" t="n">
        <v>52.0948770623986</v>
      </c>
      <c r="P17" s="27" t="n">
        <v>114.190171832591</v>
      </c>
      <c r="Q17" s="27" t="n">
        <v>67.536014352041</v>
      </c>
      <c r="R17" s="27" t="n">
        <v>132.260379552953</v>
      </c>
      <c r="S17" s="27" t="n">
        <v>141.466633284792</v>
      </c>
      <c r="T17" s="27" t="n">
        <v>1680547.62780791</v>
      </c>
      <c r="U17" s="27" t="n">
        <v>18260.4436946452</v>
      </c>
    </row>
    <row r="18" customFormat="false" ht="23.85" hidden="false" customHeight="false" outlineLevel="0" collapsed="false">
      <c r="A18" s="9" t="s">
        <v>322</v>
      </c>
      <c r="B18" s="9" t="s">
        <v>323</v>
      </c>
      <c r="C18" s="36" t="s">
        <v>324</v>
      </c>
      <c r="D18" s="24" t="n">
        <v>0.0027</v>
      </c>
      <c r="E18" s="24" t="n">
        <v>0.0002</v>
      </c>
      <c r="F18" s="24" t="n">
        <v>0.0470033927898686</v>
      </c>
      <c r="G18" s="27" t="n">
        <v>0</v>
      </c>
      <c r="H18" s="27" t="n">
        <v>0</v>
      </c>
      <c r="I18" s="26" t="n">
        <v>0.977</v>
      </c>
      <c r="J18" s="27" t="n">
        <v>85185.4649977598</v>
      </c>
      <c r="K18" s="27" t="n">
        <v>-248360.852330867</v>
      </c>
      <c r="L18" s="27" t="n">
        <v>860719.78272634</v>
      </c>
      <c r="M18" s="27" t="n">
        <v>630475.541131367</v>
      </c>
      <c r="N18" s="24" t="n">
        <v>0.9132120625</v>
      </c>
      <c r="O18" s="27" t="n">
        <v>52.0948770623986</v>
      </c>
      <c r="P18" s="27" t="n">
        <v>114.190171832591</v>
      </c>
      <c r="Q18" s="27" t="n">
        <v>68.9148993788443</v>
      </c>
      <c r="R18" s="27" t="n">
        <v>136.418352273729</v>
      </c>
      <c r="S18" s="27" t="n">
        <v>148.625340367804</v>
      </c>
      <c r="T18" s="27" t="n">
        <v>1680558.10773389</v>
      </c>
      <c r="U18" s="27" t="n">
        <v>18260.2270923396</v>
      </c>
    </row>
    <row r="19" customFormat="false" ht="15" hidden="false" customHeight="false" outlineLevel="0" collapsed="false">
      <c r="A19" s="9" t="s">
        <v>325</v>
      </c>
      <c r="B19" s="9" t="s">
        <v>326</v>
      </c>
      <c r="C19" s="36" t="s">
        <v>327</v>
      </c>
      <c r="D19" s="24" t="n">
        <v>0.0001</v>
      </c>
      <c r="E19" s="24" t="n">
        <v>0</v>
      </c>
      <c r="F19" s="24" t="n">
        <v>0.05555257154402</v>
      </c>
      <c r="G19" s="27" t="n">
        <v>0</v>
      </c>
      <c r="H19" s="27" t="n">
        <v>0</v>
      </c>
      <c r="I19" s="26" t="n">
        <v>0.92</v>
      </c>
      <c r="J19" s="27" t="n">
        <v>98375.9835690393</v>
      </c>
      <c r="K19" s="27" t="n">
        <v>-235672.341098749</v>
      </c>
      <c r="L19" s="27" t="n">
        <v>990240.266311275</v>
      </c>
      <c r="M19" s="27" t="n">
        <v>794826.413997332</v>
      </c>
      <c r="N19" s="24" t="n">
        <v>0.92975209</v>
      </c>
      <c r="O19" s="27" t="n">
        <v>52.0948770623986</v>
      </c>
      <c r="P19" s="27" t="n">
        <v>114.190171832591</v>
      </c>
      <c r="Q19" s="27" t="n">
        <v>65.0114881815119</v>
      </c>
      <c r="R19" s="27" t="n">
        <v>125.230965892293</v>
      </c>
      <c r="S19" s="27" t="n">
        <v>134.078581483115</v>
      </c>
      <c r="T19" s="27" t="n">
        <v>1680768.50217667</v>
      </c>
      <c r="U19" s="27" t="n">
        <v>18262.1090432943</v>
      </c>
    </row>
    <row r="20" customFormat="false" ht="15" hidden="false" customHeight="false" outlineLevel="0" collapsed="false">
      <c r="A20" s="9" t="s">
        <v>328</v>
      </c>
      <c r="B20" s="9" t="s">
        <v>329</v>
      </c>
      <c r="C20" s="36" t="s">
        <v>330</v>
      </c>
      <c r="D20" s="24" t="n">
        <v>0.00025</v>
      </c>
      <c r="E20" s="24" t="n">
        <v>0.00015</v>
      </c>
      <c r="F20" s="24" t="n">
        <v>0.0521603308961098</v>
      </c>
      <c r="G20" s="27" t="n">
        <v>0</v>
      </c>
      <c r="H20" s="27" t="n">
        <v>0</v>
      </c>
      <c r="I20" s="26" t="n">
        <v>0.948</v>
      </c>
      <c r="J20" s="27" t="n">
        <v>89826.9344780442</v>
      </c>
      <c r="K20" s="27" t="n">
        <v>-229912.726971655</v>
      </c>
      <c r="L20" s="27" t="n">
        <v>906367.820468706</v>
      </c>
      <c r="M20" s="27" t="n">
        <v>713652.574912174</v>
      </c>
      <c r="N20" s="24" t="n">
        <v>0.927403105</v>
      </c>
      <c r="O20" s="27" t="n">
        <v>50.1245899875686</v>
      </c>
      <c r="P20" s="27" t="n">
        <v>109.702963159122</v>
      </c>
      <c r="Q20" s="27" t="n">
        <v>62.650796889897</v>
      </c>
      <c r="R20" s="27" t="n">
        <v>124.023860869196</v>
      </c>
      <c r="S20" s="27" t="n">
        <v>133.071908302487</v>
      </c>
      <c r="T20" s="27" t="n">
        <v>1615186.58707345</v>
      </c>
      <c r="U20" s="27" t="n">
        <v>18262.1090432943</v>
      </c>
    </row>
    <row r="21" customFormat="false" ht="15" hidden="false" customHeight="false" outlineLevel="0" collapsed="false">
      <c r="A21" s="9" t="s">
        <v>331</v>
      </c>
      <c r="B21" s="9" t="s">
        <v>332</v>
      </c>
      <c r="C21" s="36" t="s">
        <v>333</v>
      </c>
      <c r="D21" s="24" t="n">
        <v>0.6143</v>
      </c>
      <c r="E21" s="24" t="n">
        <v>0.0149</v>
      </c>
      <c r="F21" s="24" t="n">
        <v>0.00284702605633408</v>
      </c>
      <c r="G21" s="27" t="n">
        <v>484337.407790845</v>
      </c>
      <c r="H21" s="27" t="n">
        <v>242.168703895423</v>
      </c>
      <c r="I21" s="26" t="s">
        <v>312</v>
      </c>
      <c r="J21" s="27" t="n">
        <v>4240.70263328583</v>
      </c>
      <c r="K21" s="27" t="n">
        <v>-211375.765496211</v>
      </c>
      <c r="L21" s="27" t="n">
        <v>61377.4948840846</v>
      </c>
      <c r="M21" s="27" t="n">
        <v>-317214.994708842</v>
      </c>
      <c r="N21" s="24" t="n">
        <v>0.56365401</v>
      </c>
      <c r="O21" s="27" t="n">
        <v>52.0948770623986</v>
      </c>
      <c r="P21" s="27" t="n">
        <v>114.190171832591</v>
      </c>
      <c r="Q21" s="27" t="n">
        <v>90.8178914532336</v>
      </c>
      <c r="R21" s="27" t="n">
        <v>176.903517851167</v>
      </c>
      <c r="S21" s="27" t="n">
        <v>206.305489479403</v>
      </c>
      <c r="T21" s="27" t="n">
        <v>1280357.01940103</v>
      </c>
      <c r="U21" s="27" t="n">
        <v>14403.3131326309</v>
      </c>
    </row>
    <row r="22" customFormat="false" ht="15" hidden="false" customHeight="false" outlineLevel="0" collapsed="false">
      <c r="A22" s="9" t="s">
        <v>334</v>
      </c>
      <c r="B22" s="9" t="s">
        <v>335</v>
      </c>
      <c r="C22" s="36" t="s">
        <v>336</v>
      </c>
      <c r="D22" s="24" t="n">
        <v>0.01135</v>
      </c>
      <c r="E22" s="24" t="n">
        <v>0.0013</v>
      </c>
      <c r="F22" s="24" t="n">
        <v>0.0447010737561746</v>
      </c>
      <c r="G22" s="27" t="n">
        <v>5220.3001984207</v>
      </c>
      <c r="H22" s="27" t="n">
        <v>2.61015009921035</v>
      </c>
      <c r="I22" s="26" t="n">
        <v>1.002</v>
      </c>
      <c r="J22" s="27" t="n">
        <v>77182.1716306813</v>
      </c>
      <c r="K22" s="27" t="n">
        <v>-246667.894079925</v>
      </c>
      <c r="L22" s="27" t="n">
        <v>780036.970087521</v>
      </c>
      <c r="M22" s="27" t="n">
        <v>565689.99424592</v>
      </c>
      <c r="N22" s="24" t="n">
        <v>0.8973567225</v>
      </c>
      <c r="O22" s="27" t="n">
        <v>52.0948770623986</v>
      </c>
      <c r="P22" s="27" t="n">
        <v>114.190171832591</v>
      </c>
      <c r="Q22" s="27" t="n">
        <v>71.4344955099395</v>
      </c>
      <c r="R22" s="27" t="n">
        <v>137.168169478663</v>
      </c>
      <c r="S22" s="27" t="n">
        <v>147.506604122493</v>
      </c>
      <c r="T22" s="27" t="n">
        <v>1581792.91030704</v>
      </c>
      <c r="U22" s="27" t="n">
        <v>18260.6860558402</v>
      </c>
    </row>
    <row r="23" customFormat="false" ht="15" hidden="false" customHeight="false" outlineLevel="0" collapsed="false">
      <c r="A23" s="9" t="s">
        <v>337</v>
      </c>
      <c r="B23" s="9" t="s">
        <v>338</v>
      </c>
      <c r="C23" s="36" t="s">
        <v>339</v>
      </c>
      <c r="D23" s="24" t="n">
        <v>0.00085</v>
      </c>
      <c r="E23" s="24" t="n">
        <v>0</v>
      </c>
      <c r="F23" s="24" t="n">
        <v>0.0531917002597562</v>
      </c>
      <c r="G23" s="27" t="n">
        <v>0</v>
      </c>
      <c r="H23" s="27" t="n">
        <v>0</v>
      </c>
      <c r="I23" s="26" t="n">
        <v>0.948</v>
      </c>
      <c r="J23" s="27" t="n">
        <v>110393.955097763</v>
      </c>
      <c r="K23" s="27" t="n">
        <v>-315742.494661959</v>
      </c>
      <c r="L23" s="27" t="n">
        <v>1113275.90767259</v>
      </c>
      <c r="M23" s="27" t="n">
        <v>837979.019220569</v>
      </c>
      <c r="N23" s="24" t="n">
        <v>0.92684132</v>
      </c>
      <c r="O23" s="27" t="n">
        <v>60.5782660994855</v>
      </c>
      <c r="P23" s="27" t="n">
        <v>133.520098280328</v>
      </c>
      <c r="Q23" s="27" t="n">
        <v>76.6988769216049</v>
      </c>
      <c r="R23" s="27" t="n">
        <v>147.730543897071</v>
      </c>
      <c r="S23" s="27" t="n">
        <v>158.504470396625</v>
      </c>
      <c r="T23" s="27" t="n">
        <v>1958875.49403125</v>
      </c>
      <c r="U23" s="27" t="n">
        <v>21748.7887717407</v>
      </c>
    </row>
    <row r="24" customFormat="false" ht="15" hidden="false" customHeight="false" outlineLevel="0" collapsed="false">
      <c r="A24" s="9" t="s">
        <v>340</v>
      </c>
      <c r="B24" s="9" t="s">
        <v>341</v>
      </c>
      <c r="C24" s="36" t="s">
        <v>342</v>
      </c>
      <c r="D24" s="24" t="n">
        <v>0.0375</v>
      </c>
      <c r="E24" s="24" t="n">
        <v>0.006</v>
      </c>
      <c r="F24" s="24" t="n">
        <v>0.0416506796271018</v>
      </c>
      <c r="G24" s="27" t="n">
        <v>68599.187510618</v>
      </c>
      <c r="H24" s="27" t="n">
        <v>34.299593755309</v>
      </c>
      <c r="I24" s="26" t="n">
        <v>1.033</v>
      </c>
      <c r="J24" s="27" t="n">
        <v>71566.139008891</v>
      </c>
      <c r="K24" s="27" t="n">
        <v>-277348.435165909</v>
      </c>
      <c r="L24" s="27" t="n">
        <v>724983.156502901</v>
      </c>
      <c r="M24" s="27" t="n">
        <v>473492.794341028</v>
      </c>
      <c r="N24" s="24" t="n">
        <v>0.8935863925</v>
      </c>
      <c r="O24" s="27" t="n">
        <v>52.0948770623986</v>
      </c>
      <c r="P24" s="27" t="n">
        <v>114.190171832591</v>
      </c>
      <c r="Q24" s="27" t="n">
        <v>72.0766234275937</v>
      </c>
      <c r="R24" s="27" t="n">
        <v>138.422371502677</v>
      </c>
      <c r="S24" s="27" t="n">
        <v>150.798920687297</v>
      </c>
      <c r="T24" s="27" t="n">
        <v>1573166.52583079</v>
      </c>
      <c r="U24" s="27" t="n">
        <v>18260.6860558402</v>
      </c>
    </row>
    <row r="25" customFormat="false" ht="15" hidden="false" customHeight="false" outlineLevel="0" collapsed="false">
      <c r="A25" s="9" t="s">
        <v>343</v>
      </c>
      <c r="B25" s="9" t="s">
        <v>344</v>
      </c>
      <c r="C25" s="36" t="s">
        <v>345</v>
      </c>
      <c r="D25" s="24" t="n">
        <v>1</v>
      </c>
      <c r="E25" s="24" t="n">
        <v>0</v>
      </c>
      <c r="F25" s="24" t="n">
        <v>-0.142509321908594</v>
      </c>
      <c r="G25" s="27" t="n">
        <v>3131784.97158166</v>
      </c>
      <c r="H25" s="27" t="n">
        <v>1565.89248579083</v>
      </c>
      <c r="I25" s="26" t="n">
        <v>1.198</v>
      </c>
      <c r="J25" s="27" t="n">
        <v>-239502.050774375</v>
      </c>
      <c r="K25" s="27" t="n">
        <v>-943199.423278401</v>
      </c>
      <c r="L25" s="27" t="n">
        <v>-2387849.81484409</v>
      </c>
      <c r="M25" s="27" t="n">
        <v>-2905338.99579346</v>
      </c>
      <c r="N25" s="24" t="n">
        <v>0.937499995</v>
      </c>
      <c r="O25" s="27" t="n">
        <v>52.0948770623986</v>
      </c>
      <c r="P25" s="27" t="n">
        <v>114.190171832591</v>
      </c>
      <c r="Q25" s="27" t="n">
        <v>52.0948770623986</v>
      </c>
      <c r="R25" s="27" t="n">
        <v>114.190171832591</v>
      </c>
      <c r="S25" s="27" t="n">
        <v>114.190171832591</v>
      </c>
      <c r="T25" s="27" t="n">
        <v>1680653.51278155</v>
      </c>
      <c r="U25" s="27" t="n">
        <v>18260.6860558402</v>
      </c>
    </row>
    <row r="26" customFormat="false" ht="15" hidden="false" customHeight="false" outlineLevel="0" collapsed="false">
      <c r="A26" s="9" t="s">
        <v>346</v>
      </c>
      <c r="B26" s="9" t="s">
        <v>347</v>
      </c>
      <c r="C26" s="36" t="s">
        <v>348</v>
      </c>
      <c r="D26" s="24" t="n">
        <v>0.001</v>
      </c>
      <c r="E26" s="24" t="n">
        <v>0</v>
      </c>
      <c r="F26" s="24" t="n">
        <v>0.0515043993278078</v>
      </c>
      <c r="G26" s="27" t="n">
        <v>0</v>
      </c>
      <c r="H26" s="27" t="n">
        <v>0</v>
      </c>
      <c r="I26" s="26" t="n">
        <v>0.958</v>
      </c>
      <c r="J26" s="27" t="n">
        <v>92986.3634281831</v>
      </c>
      <c r="K26" s="27" t="n">
        <v>-252027.309186355</v>
      </c>
      <c r="L26" s="27" t="n">
        <v>937684.941306793</v>
      </c>
      <c r="M26" s="27" t="n">
        <v>723264.856749843</v>
      </c>
      <c r="N26" s="24" t="n">
        <v>0.917117835</v>
      </c>
      <c r="O26" s="27" t="n">
        <v>52.0948770623986</v>
      </c>
      <c r="P26" s="27" t="n">
        <v>114.190171832591</v>
      </c>
      <c r="Q26" s="27" t="n">
        <v>68.2385836714491</v>
      </c>
      <c r="R26" s="27" t="n">
        <v>129.09692641024</v>
      </c>
      <c r="S26" s="27" t="n">
        <v>138.052992817394</v>
      </c>
      <c r="T26" s="27" t="n">
        <v>1680653.51278155</v>
      </c>
      <c r="U26" s="27" t="n">
        <v>18642.0944006904</v>
      </c>
    </row>
    <row r="27" customFormat="false" ht="15" hidden="false" customHeight="false" outlineLevel="0" collapsed="false">
      <c r="A27" s="9" t="s">
        <v>349</v>
      </c>
      <c r="B27" s="9" t="s">
        <v>350</v>
      </c>
      <c r="C27" s="36" t="s">
        <v>351</v>
      </c>
      <c r="D27" s="24" t="n">
        <v>0.3026</v>
      </c>
      <c r="E27" s="24" t="n">
        <v>0.08205</v>
      </c>
      <c r="F27" s="24" t="n">
        <v>0.0139410576169218</v>
      </c>
      <c r="G27" s="27" t="n">
        <v>337615.792723976</v>
      </c>
      <c r="H27" s="27" t="n">
        <v>168.807896361988</v>
      </c>
      <c r="I27" s="26" t="n">
        <v>1.195</v>
      </c>
      <c r="J27" s="27" t="n">
        <v>24895.1693777398</v>
      </c>
      <c r="K27" s="27" t="n">
        <v>-256560.823906661</v>
      </c>
      <c r="L27" s="27" t="n">
        <v>265693.286831635</v>
      </c>
      <c r="M27" s="27" t="n">
        <v>-171705.695146086</v>
      </c>
      <c r="N27" s="24" t="n">
        <v>0.76912266</v>
      </c>
      <c r="O27" s="27" t="n">
        <v>52.0948770623986</v>
      </c>
      <c r="P27" s="27" t="n">
        <v>114.190171832591</v>
      </c>
      <c r="Q27" s="27" t="n">
        <v>104.455800141003</v>
      </c>
      <c r="R27" s="27" t="n">
        <v>140.691175938373</v>
      </c>
      <c r="S27" s="27" t="n">
        <v>151.069781129116</v>
      </c>
      <c r="T27" s="27" t="n">
        <v>1680653.51278155</v>
      </c>
      <c r="U27" s="27" t="n">
        <v>18260.6860558402</v>
      </c>
    </row>
    <row r="28" customFormat="false" ht="15" hidden="false" customHeight="false" outlineLevel="0" collapsed="false">
      <c r="A28" s="9" t="s">
        <v>352</v>
      </c>
      <c r="B28" s="9" t="s">
        <v>353</v>
      </c>
      <c r="C28" s="36" t="s">
        <v>354</v>
      </c>
      <c r="D28" s="24" t="n">
        <v>0.4089</v>
      </c>
      <c r="E28" s="24" t="n">
        <v>0</v>
      </c>
      <c r="F28" s="24" t="n">
        <v>0.00765175399117854</v>
      </c>
      <c r="G28" s="27" t="n">
        <v>374456.161320183</v>
      </c>
      <c r="H28" s="27" t="n">
        <v>187.228080660091</v>
      </c>
      <c r="I28" s="26" t="s">
        <v>312</v>
      </c>
      <c r="J28" s="27" t="n">
        <v>11325.2804455554</v>
      </c>
      <c r="K28" s="27" t="n">
        <v>-253658.035340219</v>
      </c>
      <c r="L28" s="27" t="n">
        <v>109463.768402393</v>
      </c>
      <c r="M28" s="27" t="n">
        <v>-221745.199596527</v>
      </c>
      <c r="N28" s="24" t="n">
        <v>0.6497928775</v>
      </c>
      <c r="O28" s="27" t="n">
        <v>65.0362902269579</v>
      </c>
      <c r="P28" s="27" t="n">
        <v>94.7780520857519</v>
      </c>
      <c r="Q28" s="27" t="n">
        <v>106.229014026853</v>
      </c>
      <c r="R28" s="27" t="n">
        <v>154.808630524897</v>
      </c>
      <c r="S28" s="27" t="n">
        <v>172.242439606035</v>
      </c>
      <c r="T28" s="27" t="n">
        <v>1680670.48644902</v>
      </c>
      <c r="U28" s="27" t="n">
        <v>18260.6860558402</v>
      </c>
    </row>
    <row r="29" customFormat="false" ht="15" hidden="false" customHeight="false" outlineLevel="0" collapsed="false">
      <c r="A29" s="9" t="s">
        <v>355</v>
      </c>
      <c r="B29" s="9" t="s">
        <v>356</v>
      </c>
      <c r="C29" s="36" t="s">
        <v>357</v>
      </c>
      <c r="D29" s="24" t="n">
        <v>0.0026</v>
      </c>
      <c r="E29" s="24" t="n">
        <v>0.0002</v>
      </c>
      <c r="F29" s="24" t="n">
        <v>0.0537489237032111</v>
      </c>
      <c r="G29" s="27" t="n">
        <v>0</v>
      </c>
      <c r="H29" s="27" t="n">
        <v>0</v>
      </c>
      <c r="I29" s="26" t="n">
        <v>0.972</v>
      </c>
      <c r="J29" s="27" t="n">
        <v>9541.91429501901</v>
      </c>
      <c r="K29" s="27" t="n">
        <v>-28114.6596282733</v>
      </c>
      <c r="L29" s="27" t="n">
        <v>96450.7325594858</v>
      </c>
      <c r="M29" s="27" t="n">
        <v>69389.3952274058</v>
      </c>
      <c r="N29" s="24" t="n">
        <v>0.926786875</v>
      </c>
      <c r="O29" s="27" t="n">
        <v>52.0948770623986</v>
      </c>
      <c r="P29" s="27" t="n">
        <v>114.190171832591</v>
      </c>
      <c r="Q29" s="27" t="n">
        <v>65.4172476667329</v>
      </c>
      <c r="R29" s="27" t="n">
        <v>125.512815063066</v>
      </c>
      <c r="S29" s="27" t="n">
        <v>138.627196358889</v>
      </c>
      <c r="T29" s="27" t="n">
        <v>168113.81020643</v>
      </c>
      <c r="U29" s="27" t="n">
        <v>18276.4357968015</v>
      </c>
    </row>
    <row r="30" customFormat="false" ht="15" hidden="false" customHeight="false" outlineLevel="0" collapsed="false">
      <c r="A30" s="9" t="s">
        <v>358</v>
      </c>
      <c r="B30" s="9" t="s">
        <v>359</v>
      </c>
      <c r="C30" s="36" t="s">
        <v>360</v>
      </c>
      <c r="D30" s="24" t="n">
        <v>0.0068</v>
      </c>
      <c r="E30" s="24" t="n">
        <v>0.0009</v>
      </c>
      <c r="F30" s="24" t="n">
        <v>0.0496887121985928</v>
      </c>
      <c r="G30" s="27" t="n">
        <v>0</v>
      </c>
      <c r="H30" s="27" t="n">
        <v>0</v>
      </c>
      <c r="I30" s="26" t="n">
        <v>0.995</v>
      </c>
      <c r="J30" s="27" t="n">
        <v>8900.37998764792</v>
      </c>
      <c r="K30" s="27" t="n">
        <v>-29873.9247587008</v>
      </c>
      <c r="L30" s="27" t="n">
        <v>90126.9554387661</v>
      </c>
      <c r="M30" s="27" t="n">
        <v>61886.08607788</v>
      </c>
      <c r="N30" s="24" t="n">
        <v>0.92154505</v>
      </c>
      <c r="O30" s="27" t="n">
        <v>52.0948770623986</v>
      </c>
      <c r="P30" s="27" t="n">
        <v>114.190171832591</v>
      </c>
      <c r="Q30" s="27" t="n">
        <v>66.7122165121131</v>
      </c>
      <c r="R30" s="27" t="n">
        <v>130.120681744912</v>
      </c>
      <c r="S30" s="27" t="n">
        <v>143.82800722556</v>
      </c>
      <c r="T30" s="27" t="n">
        <v>168112.762885237</v>
      </c>
      <c r="U30" s="27" t="n">
        <v>18276.2957596256</v>
      </c>
    </row>
    <row r="31" customFormat="false" ht="15" hidden="false" customHeight="false" outlineLevel="0" collapsed="false">
      <c r="A31" s="9" t="s">
        <v>361</v>
      </c>
      <c r="B31" s="9" t="s">
        <v>362</v>
      </c>
      <c r="C31" s="36" t="s">
        <v>363</v>
      </c>
      <c r="D31" s="24" t="n">
        <v>0.0002</v>
      </c>
      <c r="E31" s="24" t="n">
        <v>0</v>
      </c>
      <c r="F31" s="24" t="n">
        <v>0.0551385695206715</v>
      </c>
      <c r="G31" s="27" t="n">
        <v>0</v>
      </c>
      <c r="H31" s="27" t="n">
        <v>0</v>
      </c>
      <c r="I31" s="26" t="n">
        <v>0.933</v>
      </c>
      <c r="J31" s="27" t="n">
        <v>981223.16955268</v>
      </c>
      <c r="K31" s="27" t="n">
        <v>-2454107.50789427</v>
      </c>
      <c r="L31" s="27" t="n">
        <v>9887859.17040484</v>
      </c>
      <c r="M31" s="27" t="n">
        <v>7804557.74635949</v>
      </c>
      <c r="N31" s="24" t="n">
        <v>0.927573731</v>
      </c>
      <c r="O31" s="27" t="n">
        <v>52.0948770623986</v>
      </c>
      <c r="P31" s="27" t="n">
        <v>114.190171832591</v>
      </c>
      <c r="Q31" s="27" t="n">
        <v>65.540326020068</v>
      </c>
      <c r="R31" s="27" t="n">
        <v>125.120455654803</v>
      </c>
      <c r="S31" s="27" t="n">
        <v>132.828954096335</v>
      </c>
      <c r="T31" s="27" t="n">
        <v>16808796.8654935</v>
      </c>
      <c r="U31" s="27" t="n">
        <v>18259.7681535697</v>
      </c>
    </row>
    <row r="32" customFormat="false" ht="15" hidden="false" customHeight="false" outlineLevel="0" collapsed="false">
      <c r="A32" s="9" t="s">
        <v>364</v>
      </c>
      <c r="B32" s="9" t="s">
        <v>365</v>
      </c>
      <c r="C32" s="36" t="s">
        <v>366</v>
      </c>
      <c r="D32" s="24" t="n">
        <v>0.63445</v>
      </c>
      <c r="E32" s="24" t="n">
        <v>0.1919</v>
      </c>
      <c r="F32" s="24" t="n">
        <v>0.0112356951027795</v>
      </c>
      <c r="G32" s="27" t="n">
        <v>409439.478175806</v>
      </c>
      <c r="H32" s="27" t="n">
        <v>204.719739087903</v>
      </c>
      <c r="I32" s="26" t="n">
        <v>1.202</v>
      </c>
      <c r="J32" s="27" t="n">
        <v>17839.1747257152</v>
      </c>
      <c r="K32" s="27" t="n">
        <v>-267129.314585629</v>
      </c>
      <c r="L32" s="27" t="n">
        <v>199174.082176101</v>
      </c>
      <c r="M32" s="27" t="n">
        <v>-185440.886876905</v>
      </c>
      <c r="N32" s="24" t="n">
        <v>0.692104785</v>
      </c>
      <c r="O32" s="27" t="n">
        <v>52.0948770623986</v>
      </c>
      <c r="P32" s="27" t="n">
        <v>114.190171832591</v>
      </c>
      <c r="Q32" s="27" t="n">
        <v>91.3167015595317</v>
      </c>
      <c r="R32" s="27" t="n">
        <v>168.35885721531</v>
      </c>
      <c r="S32" s="27" t="n">
        <v>192.64720910728</v>
      </c>
      <c r="T32" s="27" t="n">
        <v>1510581.6241796</v>
      </c>
      <c r="U32" s="27" t="n">
        <v>19076.2262030239</v>
      </c>
    </row>
    <row r="33" customFormat="false" ht="15" hidden="false" customHeight="false" outlineLevel="0" collapsed="false">
      <c r="A33" s="9" t="s">
        <v>367</v>
      </c>
      <c r="B33" s="9" t="s">
        <v>368</v>
      </c>
      <c r="C33" s="36" t="s">
        <v>369</v>
      </c>
      <c r="D33" s="24" t="n">
        <v>1</v>
      </c>
      <c r="E33" s="24" t="n">
        <v>1</v>
      </c>
      <c r="F33" s="24" t="n">
        <v>-0.319524470531912</v>
      </c>
      <c r="G33" s="27" t="n">
        <v>4122478.46406221</v>
      </c>
      <c r="H33" s="27" t="n">
        <v>2061.2392320311</v>
      </c>
      <c r="I33" s="26" t="s">
        <v>312</v>
      </c>
      <c r="J33" s="27" t="n">
        <v>-355688.752013205</v>
      </c>
      <c r="K33" s="27" t="n">
        <v>-635482.999739602</v>
      </c>
      <c r="L33" s="27" t="n">
        <v>-3553347.74954855</v>
      </c>
      <c r="M33" s="27" t="n">
        <v>-3955950.15258698</v>
      </c>
      <c r="N33" s="24" t="n">
        <v>0.4892182375</v>
      </c>
      <c r="O33" s="27" t="n">
        <v>50.1245899875686</v>
      </c>
      <c r="P33" s="27" t="n">
        <v>109.702963159122</v>
      </c>
      <c r="Q33" s="27" t="n">
        <v>118.191161223509</v>
      </c>
      <c r="R33" s="27" t="n">
        <v>258.673848676909</v>
      </c>
      <c r="S33" s="27" t="n">
        <v>258.673848676909</v>
      </c>
      <c r="T33" s="27" t="n">
        <v>1199018.57421037</v>
      </c>
      <c r="U33" s="27" t="n">
        <v>18812.7292746496</v>
      </c>
    </row>
    <row r="34" customFormat="false" ht="15" hidden="false" customHeight="false" outlineLevel="0" collapsed="false">
      <c r="A34" s="9" t="s">
        <v>370</v>
      </c>
      <c r="B34" s="9" t="s">
        <v>371</v>
      </c>
      <c r="C34" s="36" t="s">
        <v>372</v>
      </c>
      <c r="D34" s="24" t="n">
        <v>0.03735</v>
      </c>
      <c r="E34" s="24" t="n">
        <v>5E-005</v>
      </c>
      <c r="F34" s="24" t="n">
        <v>0.0299113371769301</v>
      </c>
      <c r="G34" s="27" t="n">
        <v>137673.362642154</v>
      </c>
      <c r="H34" s="27" t="n">
        <v>68.8366813210772</v>
      </c>
      <c r="I34" s="26" t="n">
        <v>1.064</v>
      </c>
      <c r="J34" s="27" t="n">
        <v>47379.1731188993</v>
      </c>
      <c r="K34" s="27" t="n">
        <v>-261415.239011601</v>
      </c>
      <c r="L34" s="27" t="n">
        <v>499292.634877102</v>
      </c>
      <c r="M34" s="27" t="n">
        <v>84183.289373571</v>
      </c>
      <c r="N34" s="24" t="n">
        <v>0.68611759</v>
      </c>
      <c r="O34" s="27" t="n">
        <v>59.5308023107022</v>
      </c>
      <c r="P34" s="27" t="n">
        <v>129.776404507212</v>
      </c>
      <c r="Q34" s="27" t="n">
        <v>91.8508266957327</v>
      </c>
      <c r="R34" s="27" t="n">
        <v>168.662417860332</v>
      </c>
      <c r="S34" s="27" t="n">
        <v>194.376706529185</v>
      </c>
      <c r="T34" s="27" t="n">
        <v>1720351.82002066</v>
      </c>
      <c r="U34" s="27" t="n">
        <v>19076.2262030239</v>
      </c>
    </row>
    <row r="35" customFormat="false" ht="15" hidden="false" customHeight="false" outlineLevel="0" collapsed="false">
      <c r="A35" s="9" t="s">
        <v>373</v>
      </c>
      <c r="B35" s="9" t="s">
        <v>374</v>
      </c>
      <c r="C35" s="36" t="s">
        <v>375</v>
      </c>
      <c r="D35" s="24" t="n">
        <v>0</v>
      </c>
      <c r="E35" s="24" t="n">
        <v>0</v>
      </c>
      <c r="F35" s="24" t="n">
        <v>0.0584268204596175</v>
      </c>
      <c r="G35" s="27" t="n">
        <v>0</v>
      </c>
      <c r="H35" s="27" t="n">
        <v>0</v>
      </c>
      <c r="I35" s="26" t="n">
        <v>0.914</v>
      </c>
      <c r="J35" s="27" t="n">
        <v>124695.567847964</v>
      </c>
      <c r="K35" s="27" t="n">
        <v>-224749.269090938</v>
      </c>
      <c r="L35" s="27" t="n">
        <v>1252442.59994869</v>
      </c>
      <c r="M35" s="27" t="n">
        <v>1069153.71509102</v>
      </c>
      <c r="N35" s="24" t="n">
        <v>0.937499995</v>
      </c>
      <c r="O35" s="27" t="n">
        <v>54.8728580147795</v>
      </c>
      <c r="P35" s="27" t="n">
        <v>147.700975914224</v>
      </c>
      <c r="Q35" s="27" t="n">
        <v>68.3899178294614</v>
      </c>
      <c r="R35" s="27" t="n">
        <v>157.917410617044</v>
      </c>
      <c r="S35" s="27" t="n">
        <v>167.41404943445</v>
      </c>
      <c r="T35" s="27" t="n">
        <v>2012654.33891269</v>
      </c>
      <c r="U35" s="27" t="n">
        <v>18260.6860558402</v>
      </c>
    </row>
    <row r="36" customFormat="false" ht="15" hidden="false" customHeight="false" outlineLevel="0" collapsed="false">
      <c r="A36" s="9" t="s">
        <v>376</v>
      </c>
      <c r="B36" s="9" t="s">
        <v>377</v>
      </c>
      <c r="C36" s="36" t="s">
        <v>378</v>
      </c>
      <c r="D36" s="24" t="n">
        <v>0.24085</v>
      </c>
      <c r="E36" s="24" t="n">
        <v>0.00015</v>
      </c>
      <c r="F36" s="24" t="n">
        <v>0.0242796710072104</v>
      </c>
      <c r="G36" s="27" t="n">
        <v>359412.20047684</v>
      </c>
      <c r="H36" s="27" t="n">
        <v>179.70610023842</v>
      </c>
      <c r="I36" s="26" t="n">
        <v>1.108</v>
      </c>
      <c r="J36" s="27" t="n">
        <v>51080.4120668929</v>
      </c>
      <c r="K36" s="27" t="n">
        <v>-412463.577473659</v>
      </c>
      <c r="L36" s="27" t="n">
        <v>531816.995361249</v>
      </c>
      <c r="M36" s="27" t="n">
        <v>136192.740686871</v>
      </c>
      <c r="N36" s="24" t="n">
        <v>0.7533865725</v>
      </c>
      <c r="O36" s="27" t="n">
        <v>72.5052272178368</v>
      </c>
      <c r="P36" s="27" t="n">
        <v>170.704101495112</v>
      </c>
      <c r="Q36" s="27" t="n">
        <v>107.282208945922</v>
      </c>
      <c r="R36" s="27" t="n">
        <v>226.514055614516</v>
      </c>
      <c r="S36" s="27" t="n">
        <v>243.726125306919</v>
      </c>
      <c r="T36" s="27" t="n">
        <v>1808058.90778329</v>
      </c>
      <c r="U36" s="27" t="n">
        <v>18812.7292746496</v>
      </c>
    </row>
    <row r="37" customFormat="false" ht="23.85" hidden="false" customHeight="false" outlineLevel="0" collapsed="false">
      <c r="A37" s="9" t="s">
        <v>379</v>
      </c>
      <c r="B37" s="9" t="s">
        <v>380</v>
      </c>
      <c r="C37" s="36" t="s">
        <v>381</v>
      </c>
      <c r="D37" s="24" t="n">
        <v>0</v>
      </c>
      <c r="E37" s="24" t="n">
        <v>0</v>
      </c>
      <c r="F37" s="24" t="n">
        <v>0.0623154058650746</v>
      </c>
      <c r="G37" s="27" t="n">
        <v>0</v>
      </c>
      <c r="H37" s="27" t="n">
        <v>0</v>
      </c>
      <c r="I37" s="26" t="n">
        <v>0.887</v>
      </c>
      <c r="J37" s="27" t="n">
        <v>111716.983539077</v>
      </c>
      <c r="K37" s="27" t="n">
        <v>-249461.449114798</v>
      </c>
      <c r="L37" s="27" t="n">
        <v>1124467.90560555</v>
      </c>
      <c r="M37" s="27" t="n">
        <v>905581.121248504</v>
      </c>
      <c r="N37" s="24" t="n">
        <v>0.927524485</v>
      </c>
      <c r="O37" s="27" t="n">
        <v>54.2462619263442</v>
      </c>
      <c r="P37" s="27" t="n">
        <v>120.545771194836</v>
      </c>
      <c r="Q37" s="27" t="n">
        <v>65.5015606846817</v>
      </c>
      <c r="R37" s="27" t="n">
        <v>125.112126618867</v>
      </c>
      <c r="S37" s="27" t="n">
        <v>133.902176243337</v>
      </c>
      <c r="T37" s="27" t="n">
        <v>1765092.98360195</v>
      </c>
      <c r="U37" s="27" t="n">
        <v>18260.6860558402</v>
      </c>
    </row>
    <row r="38" customFormat="false" ht="15" hidden="false" customHeight="false" outlineLevel="0" collapsed="false">
      <c r="A38" s="9" t="s">
        <v>382</v>
      </c>
      <c r="B38" s="9" t="s">
        <v>383</v>
      </c>
      <c r="C38" s="36" t="s">
        <v>384</v>
      </c>
      <c r="D38" s="24" t="n">
        <v>0.3055</v>
      </c>
      <c r="E38" s="24" t="n">
        <v>0.0004</v>
      </c>
      <c r="F38" s="24" t="n">
        <v>0.0106195705828933</v>
      </c>
      <c r="G38" s="27" t="n">
        <v>417992.547128186</v>
      </c>
      <c r="H38" s="27" t="n">
        <v>208.996273564093</v>
      </c>
      <c r="I38" s="26" t="s">
        <v>312</v>
      </c>
      <c r="J38" s="27" t="n">
        <v>14043.2662604792</v>
      </c>
      <c r="K38" s="27" t="n">
        <v>-211211.743826997</v>
      </c>
      <c r="L38" s="27" t="n">
        <v>159582.164569673</v>
      </c>
      <c r="M38" s="27" t="n">
        <v>-224960.672350843</v>
      </c>
      <c r="N38" s="24" t="n">
        <v>0.563354215</v>
      </c>
      <c r="O38" s="27" t="n">
        <v>54.2462619263442</v>
      </c>
      <c r="P38" s="27" t="n">
        <v>120.545771194836</v>
      </c>
      <c r="Q38" s="27" t="n">
        <v>90.7507186613021</v>
      </c>
      <c r="R38" s="27" t="n">
        <v>176.735900689763</v>
      </c>
      <c r="S38" s="27" t="n">
        <v>206.575370234188</v>
      </c>
      <c r="T38" s="27" t="n">
        <v>1344687.22065296</v>
      </c>
      <c r="U38" s="27" t="n">
        <v>14403.3131326309</v>
      </c>
    </row>
    <row r="39" customFormat="false" ht="15" hidden="false" customHeight="false" outlineLevel="0" collapsed="false">
      <c r="A39" s="9" t="s">
        <v>385</v>
      </c>
      <c r="B39" s="9" t="s">
        <v>386</v>
      </c>
      <c r="C39" s="36" t="s">
        <v>387</v>
      </c>
      <c r="D39" s="24" t="n">
        <v>0.2608</v>
      </c>
      <c r="E39" s="24" t="n">
        <v>0.01795</v>
      </c>
      <c r="F39" s="24" t="n">
        <v>0.0179867858756739</v>
      </c>
      <c r="G39" s="27" t="n">
        <v>306858.003395201</v>
      </c>
      <c r="H39" s="27" t="n">
        <v>153.429001697601</v>
      </c>
      <c r="I39" s="26" t="n">
        <v>1.134</v>
      </c>
      <c r="J39" s="27" t="n">
        <v>28427.6739956324</v>
      </c>
      <c r="K39" s="27" t="n">
        <v>-266129.232536579</v>
      </c>
      <c r="L39" s="27" t="n">
        <v>305501.145955356</v>
      </c>
      <c r="M39" s="27" t="n">
        <v>-88836.7695426729</v>
      </c>
      <c r="N39" s="24" t="n">
        <v>0.689873085</v>
      </c>
      <c r="O39" s="27" t="n">
        <v>54.2462619263442</v>
      </c>
      <c r="P39" s="27" t="n">
        <v>120.545771194836</v>
      </c>
      <c r="Q39" s="27" t="n">
        <v>91.4733472695561</v>
      </c>
      <c r="R39" s="27" t="n">
        <v>168.071251756884</v>
      </c>
      <c r="S39" s="27" t="n">
        <v>192.329209306853</v>
      </c>
      <c r="T39" s="27" t="n">
        <v>1586470.04495738</v>
      </c>
      <c r="U39" s="27" t="n">
        <v>19076.2262030239</v>
      </c>
    </row>
    <row r="40" customFormat="false" ht="15" hidden="false" customHeight="false" outlineLevel="0" collapsed="false">
      <c r="A40" s="9" t="s">
        <v>388</v>
      </c>
      <c r="B40" s="9" t="s">
        <v>389</v>
      </c>
      <c r="C40" s="36" t="s">
        <v>390</v>
      </c>
      <c r="D40" s="24" t="n">
        <v>0.3397</v>
      </c>
      <c r="E40" s="24" t="n">
        <v>0.1194</v>
      </c>
      <c r="F40" s="24" t="n">
        <v>0.0178141946737534</v>
      </c>
      <c r="G40" s="27" t="n">
        <v>339483.46792257</v>
      </c>
      <c r="H40" s="27" t="n">
        <v>169.741733961285</v>
      </c>
      <c r="I40" s="26" t="n">
        <v>1.173</v>
      </c>
      <c r="J40" s="27" t="n">
        <v>32379.9335336539</v>
      </c>
      <c r="K40" s="27" t="n">
        <v>-237826.751877527</v>
      </c>
      <c r="L40" s="27" t="n">
        <v>360386.996137679</v>
      </c>
      <c r="M40" s="27" t="n">
        <v>-128455.493064551</v>
      </c>
      <c r="N40" s="24" t="n">
        <v>0.77723264</v>
      </c>
      <c r="O40" s="27" t="n">
        <v>54.2462619263442</v>
      </c>
      <c r="P40" s="27" t="n">
        <v>120.545771194836</v>
      </c>
      <c r="Q40" s="27" t="n">
        <v>79.9903523984356</v>
      </c>
      <c r="R40" s="27" t="n">
        <v>195.284816781183</v>
      </c>
      <c r="S40" s="27" t="n">
        <v>243.765085312353</v>
      </c>
      <c r="T40" s="27" t="n">
        <v>1765092.98360195</v>
      </c>
      <c r="U40" s="27" t="n">
        <v>18260.6860558402</v>
      </c>
    </row>
    <row r="41" customFormat="false" ht="15" hidden="false" customHeight="false" outlineLevel="0" collapsed="false">
      <c r="A41" s="9" t="s">
        <v>391</v>
      </c>
      <c r="B41" s="9" t="s">
        <v>392</v>
      </c>
      <c r="C41" s="36" t="s">
        <v>393</v>
      </c>
      <c r="D41" s="24" t="n">
        <v>0.07455</v>
      </c>
      <c r="E41" s="24" t="n">
        <v>0.00045</v>
      </c>
      <c r="F41" s="24" t="n">
        <v>0.0253852876040048</v>
      </c>
      <c r="G41" s="27" t="n">
        <v>186096.003082715</v>
      </c>
      <c r="H41" s="27" t="n">
        <v>93.0480015413575</v>
      </c>
      <c r="I41" s="26" t="n">
        <v>1.077</v>
      </c>
      <c r="J41" s="27" t="n">
        <v>40157.6031304337</v>
      </c>
      <c r="K41" s="27" t="n">
        <v>-264755.560306357</v>
      </c>
      <c r="L41" s="27" t="n">
        <v>424119.703079063</v>
      </c>
      <c r="M41" s="27" t="n">
        <v>30790.164145496</v>
      </c>
      <c r="N41" s="24" t="n">
        <v>0.6890547675</v>
      </c>
      <c r="O41" s="27" t="n">
        <v>56.3417666639535</v>
      </c>
      <c r="P41" s="27" t="n">
        <v>126.736290054165</v>
      </c>
      <c r="Q41" s="27" t="n">
        <v>91.3611338051152</v>
      </c>
      <c r="R41" s="27" t="n">
        <v>168.02108692251</v>
      </c>
      <c r="S41" s="27" t="n">
        <v>193.271466131338</v>
      </c>
      <c r="T41" s="27" t="n">
        <v>1660387.33792275</v>
      </c>
      <c r="U41" s="27" t="n">
        <v>19076.2262030239</v>
      </c>
    </row>
    <row r="43" customFormat="false" ht="15" hidden="false" customHeight="false" outlineLevel="0" collapsed="false">
      <c r="A43" s="7" t="s">
        <v>394</v>
      </c>
    </row>
    <row r="44" customFormat="false" ht="15" hidden="false" customHeight="false" outlineLevel="0" collapsed="false">
      <c r="A44" s="7" t="s">
        <v>395</v>
      </c>
    </row>
  </sheetData>
  <autoFilter ref="A4:U41"/>
  <conditionalFormatting sqref="D5:E41">
    <cfRule type="colorScale" priority="2">
      <colorScale>
        <cfvo type="num" val="0"/>
        <cfvo type="num" val="0.1"/>
        <cfvo type="num" val="1"/>
        <color rgb="FFE8F5E9"/>
        <color rgb="FFFFF3C4"/>
        <color rgb="FFF4B6B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6" t="s">
        <v>396</v>
      </c>
    </row>
    <row r="2" customFormat="false" ht="15" hidden="false" customHeight="false" outlineLevel="0" collapsed="false">
      <c r="A2" s="7" t="s">
        <v>397</v>
      </c>
    </row>
    <row r="4" customFormat="false" ht="15" hidden="false" customHeight="false" outlineLevel="0" collapsed="false">
      <c r="A4" s="23" t="s">
        <v>398</v>
      </c>
      <c r="B4" s="37" t="n">
        <v>0.882043</v>
      </c>
    </row>
    <row r="5" customFormat="false" ht="15" hidden="false" customHeight="false" outlineLevel="0" collapsed="false">
      <c r="A5" s="23" t="s">
        <v>399</v>
      </c>
      <c r="B5" s="37" t="n">
        <v>0.9348</v>
      </c>
    </row>
    <row r="6" customFormat="false" ht="15" hidden="false" customHeight="false" outlineLevel="0" collapsed="false">
      <c r="A6" s="23" t="s">
        <v>400</v>
      </c>
      <c r="B6" s="37" t="n">
        <v>0.8826</v>
      </c>
    </row>
    <row r="7" customFormat="false" ht="15" hidden="false" customHeight="false" outlineLevel="0" collapsed="false">
      <c r="A7" s="23" t="s">
        <v>401</v>
      </c>
      <c r="B7" s="37" t="n">
        <v>-0.172807613274633</v>
      </c>
    </row>
    <row r="8" customFormat="false" ht="15" hidden="false" customHeight="false" outlineLevel="0" collapsed="false">
      <c r="A8" s="23" t="s">
        <v>402</v>
      </c>
      <c r="B8" s="38" t="n">
        <v>3092588.60830878</v>
      </c>
    </row>
    <row r="9" customFormat="false" ht="15" hidden="false" customHeight="false" outlineLevel="0" collapsed="false">
      <c r="A9" s="23" t="s">
        <v>403</v>
      </c>
      <c r="B9" s="38" t="n">
        <v>5731522.54595835</v>
      </c>
    </row>
    <row r="12" customFormat="false" ht="31.5" hidden="false" customHeight="true" outlineLevel="0" collapsed="false">
      <c r="A12" s="8" t="s">
        <v>404</v>
      </c>
      <c r="B12" s="8" t="s">
        <v>24</v>
      </c>
      <c r="C12" s="8" t="s">
        <v>405</v>
      </c>
      <c r="D12" s="8" t="s">
        <v>406</v>
      </c>
      <c r="E12" s="8" t="s">
        <v>407</v>
      </c>
      <c r="F12" s="8" t="s">
        <v>408</v>
      </c>
      <c r="G12" s="8" t="s">
        <v>409</v>
      </c>
    </row>
    <row r="13" customFormat="false" ht="15" hidden="false" customHeight="false" outlineLevel="0" collapsed="false">
      <c r="A13" s="9" t="n">
        <v>1</v>
      </c>
      <c r="B13" s="9" t="s">
        <v>410</v>
      </c>
      <c r="C13" s="39" t="n">
        <v>1000</v>
      </c>
      <c r="D13" s="39" t="n">
        <v>3000</v>
      </c>
      <c r="E13" s="26" t="n">
        <v>-0.516424317808973</v>
      </c>
      <c r="F13" s="24" t="n">
        <v>0.716375</v>
      </c>
      <c r="G13" s="24" t="n">
        <v>0.9866</v>
      </c>
    </row>
    <row r="14" customFormat="false" ht="15" hidden="false" customHeight="false" outlineLevel="0" collapsed="false">
      <c r="A14" s="9" t="n">
        <v>2</v>
      </c>
      <c r="B14" s="9" t="s">
        <v>411</v>
      </c>
      <c r="C14" s="39" t="n">
        <v>0.5</v>
      </c>
      <c r="D14" s="39" t="n">
        <v>1.7</v>
      </c>
      <c r="E14" s="26" t="n">
        <v>-0.358548320485933</v>
      </c>
      <c r="F14" s="24" t="n">
        <v>0.723635</v>
      </c>
      <c r="G14" s="24" t="n">
        <v>0.98166</v>
      </c>
    </row>
    <row r="15" customFormat="false" ht="15" hidden="false" customHeight="false" outlineLevel="0" collapsed="false">
      <c r="A15" s="9" t="n">
        <v>3</v>
      </c>
      <c r="B15" s="9" t="s">
        <v>412</v>
      </c>
      <c r="C15" s="39" t="n">
        <v>0.75</v>
      </c>
      <c r="D15" s="39" t="n">
        <v>1.35</v>
      </c>
      <c r="E15" s="26" t="n">
        <v>-0.325096472779859</v>
      </c>
      <c r="F15" s="24" t="n">
        <v>0.743065</v>
      </c>
      <c r="G15" s="24" t="n">
        <v>0.972735</v>
      </c>
    </row>
    <row r="16" customFormat="false" ht="15" hidden="false" customHeight="false" outlineLevel="0" collapsed="false">
      <c r="A16" s="9" t="n">
        <v>4</v>
      </c>
      <c r="B16" s="9" t="s">
        <v>413</v>
      </c>
      <c r="C16" s="39" t="n">
        <v>0.55</v>
      </c>
      <c r="D16" s="39" t="n">
        <v>0.95</v>
      </c>
      <c r="E16" s="26" t="n">
        <v>0.300262407658496</v>
      </c>
      <c r="F16" s="24" t="n">
        <v>0.940435</v>
      </c>
      <c r="G16" s="24" t="n">
        <v>0.837655</v>
      </c>
    </row>
    <row r="17" customFormat="false" ht="15" hidden="false" customHeight="false" outlineLevel="0" collapsed="false">
      <c r="A17" s="9" t="n">
        <v>5</v>
      </c>
      <c r="B17" s="9" t="s">
        <v>414</v>
      </c>
      <c r="C17" s="39" t="n">
        <v>0</v>
      </c>
      <c r="D17" s="39" t="n">
        <v>0.04</v>
      </c>
      <c r="E17" s="26" t="n">
        <v>0.27782550103302</v>
      </c>
      <c r="F17" s="24" t="n">
        <v>0.88162</v>
      </c>
      <c r="G17" s="24" t="n">
        <v>0.903005</v>
      </c>
    </row>
    <row r="18" customFormat="false" ht="15" hidden="false" customHeight="false" outlineLevel="0" collapsed="false">
      <c r="A18" s="9" t="n">
        <v>6</v>
      </c>
      <c r="B18" s="9" t="s">
        <v>415</v>
      </c>
      <c r="C18" s="39" t="n">
        <v>0.1</v>
      </c>
      <c r="D18" s="39" t="n">
        <v>0.35</v>
      </c>
      <c r="E18" s="26" t="n">
        <v>-0.222044436241777</v>
      </c>
      <c r="F18" s="24" t="n">
        <v>0.840815</v>
      </c>
      <c r="G18" s="24" t="n">
        <v>0.919945</v>
      </c>
    </row>
    <row r="19" customFormat="false" ht="15" hidden="false" customHeight="false" outlineLevel="0" collapsed="false">
      <c r="A19" s="9" t="n">
        <v>7</v>
      </c>
      <c r="B19" s="9" t="s">
        <v>416</v>
      </c>
      <c r="C19" s="39" t="n">
        <v>0</v>
      </c>
      <c r="D19" s="39" t="n">
        <v>150000</v>
      </c>
      <c r="E19" s="26" t="n">
        <v>-0.210945066037803</v>
      </c>
      <c r="F19" s="24" t="n">
        <v>0.814165</v>
      </c>
      <c r="G19" s="24" t="n">
        <v>0.931775</v>
      </c>
    </row>
    <row r="20" customFormat="false" ht="15" hidden="false" customHeight="false" outlineLevel="0" collapsed="false">
      <c r="A20" s="9" t="n">
        <v>8</v>
      </c>
      <c r="B20" s="9" t="s">
        <v>417</v>
      </c>
      <c r="C20" s="39" t="n">
        <v>40</v>
      </c>
      <c r="D20" s="39" t="n">
        <v>58</v>
      </c>
      <c r="E20" s="26" t="n">
        <v>-0.19699450531978</v>
      </c>
      <c r="F20" s="24" t="n">
        <v>0.80083</v>
      </c>
      <c r="G20" s="24" t="n">
        <v>0.94224</v>
      </c>
    </row>
    <row r="21" customFormat="false" ht="15" hidden="false" customHeight="false" outlineLevel="0" collapsed="false">
      <c r="A21" s="9" t="n">
        <v>9</v>
      </c>
      <c r="B21" s="9" t="s">
        <v>418</v>
      </c>
      <c r="C21" s="39" t="n">
        <v>0.7</v>
      </c>
      <c r="D21" s="39" t="n">
        <v>1.3</v>
      </c>
      <c r="E21" s="26" t="n">
        <v>0.169008269992331</v>
      </c>
      <c r="F21" s="24" t="n">
        <v>0.92721</v>
      </c>
      <c r="G21" s="24" t="n">
        <v>0.83562</v>
      </c>
    </row>
    <row r="22" customFormat="false" ht="15" hidden="false" customHeight="false" outlineLevel="0" collapsed="false">
      <c r="A22" s="9" t="n">
        <v>10</v>
      </c>
      <c r="B22" s="9" t="s">
        <v>53</v>
      </c>
      <c r="C22" s="39" t="n">
        <v>0</v>
      </c>
      <c r="D22" s="39" t="n">
        <v>0.06</v>
      </c>
      <c r="E22" s="26" t="n">
        <v>-0.158635945449438</v>
      </c>
      <c r="F22" s="24" t="n">
        <v>0.842265</v>
      </c>
      <c r="G22" s="24" t="n">
        <v>0.913475</v>
      </c>
    </row>
    <row r="23" customFormat="false" ht="15" hidden="false" customHeight="false" outlineLevel="0" collapsed="false">
      <c r="A23" s="9" t="n">
        <v>11</v>
      </c>
      <c r="B23" s="9" t="s">
        <v>419</v>
      </c>
      <c r="C23" s="39" t="n">
        <v>0</v>
      </c>
      <c r="D23" s="39" t="n">
        <v>0.08</v>
      </c>
      <c r="E23" s="26" t="n">
        <v>-0.127180586111223</v>
      </c>
      <c r="F23" s="24" t="n">
        <v>0.829635</v>
      </c>
      <c r="G23" s="24" t="n">
        <v>0.919615</v>
      </c>
    </row>
    <row r="24" customFormat="false" ht="15" hidden="false" customHeight="false" outlineLevel="0" collapsed="false">
      <c r="A24" s="9" t="n">
        <v>12</v>
      </c>
      <c r="B24" s="9" t="s">
        <v>420</v>
      </c>
      <c r="C24" s="39" t="n">
        <v>0</v>
      </c>
      <c r="D24" s="39" t="n">
        <v>0.06</v>
      </c>
      <c r="E24" s="26" t="n">
        <v>-0.124168087270724</v>
      </c>
      <c r="F24" s="24" t="n">
        <v>0.851115</v>
      </c>
      <c r="G24" s="24" t="n">
        <v>0.898255</v>
      </c>
    </row>
    <row r="25" customFormat="false" ht="15" hidden="false" customHeight="false" outlineLevel="0" collapsed="false">
      <c r="A25" s="9" t="n">
        <v>13</v>
      </c>
      <c r="B25" s="9" t="s">
        <v>421</v>
      </c>
      <c r="C25" s="39" t="n">
        <v>0.5</v>
      </c>
      <c r="D25" s="39" t="n">
        <v>1.7</v>
      </c>
      <c r="E25" s="26" t="n">
        <v>-0.0946373851614954</v>
      </c>
      <c r="F25" s="24" t="n">
        <v>0.86065</v>
      </c>
      <c r="G25" s="24" t="n">
        <v>0.9194</v>
      </c>
    </row>
    <row r="26" customFormat="false" ht="15" hidden="false" customHeight="false" outlineLevel="0" collapsed="false">
      <c r="A26" s="9" t="n">
        <v>14</v>
      </c>
      <c r="B26" s="9" t="s">
        <v>422</v>
      </c>
      <c r="C26" s="39" t="n">
        <v>0</v>
      </c>
      <c r="D26" s="39" t="n">
        <v>0.3</v>
      </c>
      <c r="E26" s="26" t="n">
        <v>-0.0927515376620615</v>
      </c>
      <c r="F26" s="24" t="n">
        <v>0.84513</v>
      </c>
      <c r="G26" s="24" t="n">
        <v>0.91625</v>
      </c>
    </row>
    <row r="27" customFormat="false" ht="15" hidden="false" customHeight="false" outlineLevel="0" collapsed="false">
      <c r="A27" s="9" t="n">
        <v>15</v>
      </c>
      <c r="B27" s="9" t="s">
        <v>423</v>
      </c>
      <c r="C27" s="39" t="n">
        <v>380</v>
      </c>
      <c r="D27" s="39" t="n">
        <v>650</v>
      </c>
      <c r="E27" s="26" t="n">
        <v>-0.0859173115006924</v>
      </c>
      <c r="F27" s="24" t="n">
        <v>0.862005</v>
      </c>
      <c r="G27" s="24" t="n">
        <v>0.9129</v>
      </c>
    </row>
    <row r="28" customFormat="false" ht="15" hidden="false" customHeight="false" outlineLevel="0" collapsed="false">
      <c r="A28" s="9" t="n">
        <v>16</v>
      </c>
      <c r="B28" s="9" t="s">
        <v>424</v>
      </c>
      <c r="C28" s="39" t="n">
        <v>0</v>
      </c>
      <c r="D28" s="39" t="n">
        <v>0.15</v>
      </c>
      <c r="E28" s="26" t="n">
        <v>-0.0670691712907668</v>
      </c>
      <c r="F28" s="24" t="n">
        <v>0.87651</v>
      </c>
      <c r="G28" s="24" t="n">
        <v>0.894655</v>
      </c>
    </row>
    <row r="29" customFormat="false" ht="15" hidden="false" customHeight="false" outlineLevel="0" collapsed="false">
      <c r="A29" s="9" t="n">
        <v>17</v>
      </c>
      <c r="B29" s="9" t="s">
        <v>425</v>
      </c>
      <c r="C29" s="39" t="n">
        <v>60</v>
      </c>
      <c r="D29" s="39" t="n">
        <v>95</v>
      </c>
      <c r="E29" s="26" t="n">
        <v>-0.0582534970821399</v>
      </c>
      <c r="F29" s="24" t="n">
        <v>0.862195</v>
      </c>
      <c r="G29" s="24" t="n">
        <v>0.90311</v>
      </c>
    </row>
    <row r="30" customFormat="false" ht="15" hidden="false" customHeight="false" outlineLevel="0" collapsed="false">
      <c r="A30" s="9" t="n">
        <v>18</v>
      </c>
      <c r="B30" s="9" t="s">
        <v>426</v>
      </c>
      <c r="C30" s="39" t="n">
        <v>0</v>
      </c>
      <c r="D30" s="39" t="n">
        <v>0.12</v>
      </c>
      <c r="E30" s="26" t="n">
        <v>-0.0524824655872986</v>
      </c>
      <c r="F30" s="24" t="n">
        <v>0.86329</v>
      </c>
      <c r="G30" s="24" t="n">
        <v>0.895595</v>
      </c>
    </row>
    <row r="31" customFormat="false" ht="15" hidden="false" customHeight="false" outlineLevel="0" collapsed="false">
      <c r="A31" s="9" t="n">
        <v>19</v>
      </c>
      <c r="B31" s="9" t="s">
        <v>427</v>
      </c>
      <c r="C31" s="39" t="n">
        <v>0.5</v>
      </c>
      <c r="D31" s="39" t="n">
        <v>3</v>
      </c>
      <c r="E31" s="26" t="n">
        <v>-0.0406978798999152</v>
      </c>
      <c r="F31" s="24" t="n">
        <v>0.86455</v>
      </c>
      <c r="G31" s="24" t="n">
        <v>0.90365</v>
      </c>
    </row>
    <row r="32" customFormat="false" ht="15" hidden="false" customHeight="false" outlineLevel="0" collapsed="false">
      <c r="A32" s="9" t="n">
        <v>20</v>
      </c>
      <c r="B32" s="9" t="s">
        <v>428</v>
      </c>
      <c r="C32" s="39" t="n">
        <v>0.02</v>
      </c>
      <c r="D32" s="39" t="n">
        <v>0.07</v>
      </c>
      <c r="E32" s="26" t="n">
        <v>0.0280948860197954</v>
      </c>
      <c r="F32" s="24" t="n">
        <v>0.88984</v>
      </c>
      <c r="G32" s="24" t="n">
        <v>0.880025</v>
      </c>
    </row>
    <row r="33" customFormat="false" ht="15" hidden="false" customHeight="false" outlineLevel="0" collapsed="false">
      <c r="A33" s="9" t="n">
        <v>21</v>
      </c>
      <c r="B33" s="9" t="s">
        <v>429</v>
      </c>
      <c r="C33" s="39" t="n">
        <v>0.01</v>
      </c>
      <c r="D33" s="39" t="n">
        <v>0.04</v>
      </c>
      <c r="E33" s="26" t="n">
        <v>-0.0110037866481515</v>
      </c>
      <c r="F33" s="24" t="n">
        <v>0.882065</v>
      </c>
      <c r="G33" s="24" t="n">
        <v>0.890215</v>
      </c>
    </row>
    <row r="34" customFormat="false" ht="15" hidden="false" customHeight="false" outlineLevel="0" collapsed="false">
      <c r="A34" s="9" t="n">
        <v>22</v>
      </c>
      <c r="B34" s="9" t="s">
        <v>430</v>
      </c>
      <c r="C34" s="39" t="n">
        <v>0</v>
      </c>
      <c r="D34" s="39" t="n">
        <v>0.08</v>
      </c>
      <c r="E34" s="26" t="n">
        <v>-0.00610933867637355</v>
      </c>
      <c r="F34" s="24" t="n">
        <v>0.86806</v>
      </c>
      <c r="G34" s="24" t="n">
        <v>0.889785</v>
      </c>
    </row>
    <row r="37" customFormat="false" ht="15" hidden="false" customHeight="false" outlineLevel="0" collapsed="false">
      <c r="A37" s="40" t="s">
        <v>431</v>
      </c>
    </row>
    <row r="38" customFormat="false" ht="15" hidden="false" customHeight="false" outlineLevel="0" collapsed="false">
      <c r="A38" s="7" t="s">
        <v>432</v>
      </c>
    </row>
    <row r="39" customFormat="false" ht="15" hidden="false" customHeight="false" outlineLevel="0" collapsed="false">
      <c r="B39" s="41"/>
      <c r="C39" s="32" t="s">
        <v>433</v>
      </c>
      <c r="D39" s="32" t="s">
        <v>434</v>
      </c>
      <c r="E39" s="32" t="s">
        <v>435</v>
      </c>
      <c r="F39" s="32" t="s">
        <v>436</v>
      </c>
    </row>
    <row r="40" customFormat="false" ht="15" hidden="false" customHeight="false" outlineLevel="0" collapsed="false">
      <c r="B40" s="28" t="s">
        <v>437</v>
      </c>
      <c r="C40" s="37" t="n">
        <v>0.473224852071006</v>
      </c>
      <c r="D40" s="37" t="n">
        <v>0.725350318471338</v>
      </c>
      <c r="E40" s="37" t="n">
        <v>0.834882550335571</v>
      </c>
      <c r="F40" s="37" t="n">
        <v>0.935566666666667</v>
      </c>
    </row>
    <row r="41" customFormat="false" ht="15" hidden="false" customHeight="false" outlineLevel="0" collapsed="false">
      <c r="B41" s="28" t="s">
        <v>438</v>
      </c>
      <c r="C41" s="37" t="n">
        <v>0.678571428571429</v>
      </c>
      <c r="D41" s="37" t="n">
        <v>0.830903426791277</v>
      </c>
      <c r="E41" s="37" t="n">
        <v>0.925987460815047</v>
      </c>
      <c r="F41" s="37" t="n">
        <v>0.983892405063291</v>
      </c>
    </row>
    <row r="42" customFormat="false" ht="15" hidden="false" customHeight="false" outlineLevel="0" collapsed="false">
      <c r="B42" s="28" t="s">
        <v>439</v>
      </c>
      <c r="C42" s="37" t="n">
        <v>0.873733552631579</v>
      </c>
      <c r="D42" s="37" t="n">
        <v>0.956095238095238</v>
      </c>
      <c r="E42" s="37" t="n">
        <v>0.982799352750809</v>
      </c>
      <c r="F42" s="37" t="n">
        <v>0.998229813664596</v>
      </c>
    </row>
    <row r="43" customFormat="false" ht="15" hidden="false" customHeight="false" outlineLevel="0" collapsed="false">
      <c r="B43" s="28" t="s">
        <v>440</v>
      </c>
      <c r="C43" s="37" t="n">
        <v>0.94171974522293</v>
      </c>
      <c r="D43" s="37" t="n">
        <v>0.9901</v>
      </c>
      <c r="E43" s="37" t="n">
        <v>0.999660493827161</v>
      </c>
      <c r="F43" s="37" t="n">
        <v>1</v>
      </c>
    </row>
  </sheetData>
  <conditionalFormatting sqref="E13:E34">
    <cfRule type="colorScale" priority="2">
      <colorScale>
        <cfvo type="num" val="-0.6"/>
        <cfvo type="num" val="0"/>
        <cfvo type="num" val="0.6"/>
        <color rgb="FFF4B6B0"/>
        <color rgb="FFFFFFFF"/>
        <color rgb="FFB7DFC4"/>
      </colorScale>
    </cfRule>
  </conditionalFormatting>
  <conditionalFormatting sqref="C40:F43">
    <cfRule type="colorScale" priority="3">
      <colorScale>
        <cfvo type="num" val="0.4"/>
        <cfvo type="num" val="1"/>
        <color rgb="FFFFF3C4"/>
        <color rgb="FFF4B6B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13" min="4" style="0" width="15"/>
  </cols>
  <sheetData>
    <row r="1" customFormat="false" ht="17.35" hidden="false" customHeight="false" outlineLevel="0" collapsed="false">
      <c r="A1" s="6" t="s">
        <v>441</v>
      </c>
    </row>
    <row r="2" customFormat="false" ht="15" hidden="false" customHeight="false" outlineLevel="0" collapsed="false">
      <c r="A2" s="7" t="s">
        <v>442</v>
      </c>
    </row>
    <row r="4" customFormat="false" ht="15" hidden="false" customHeight="false" outlineLevel="0" collapsed="false">
      <c r="A4" s="40" t="s">
        <v>443</v>
      </c>
    </row>
    <row r="5" customFormat="false" ht="45" hidden="false" customHeight="true" outlineLevel="0" collapsed="false">
      <c r="A5" s="8" t="s">
        <v>444</v>
      </c>
      <c r="B5" s="8" t="s">
        <v>445</v>
      </c>
      <c r="C5" s="8" t="s">
        <v>446</v>
      </c>
      <c r="D5" s="8" t="s">
        <v>447</v>
      </c>
      <c r="E5" s="8" t="s">
        <v>448</v>
      </c>
      <c r="F5" s="8" t="s">
        <v>449</v>
      </c>
      <c r="G5" s="8" t="s">
        <v>450</v>
      </c>
      <c r="H5" s="8" t="s">
        <v>451</v>
      </c>
      <c r="I5" s="8" t="s">
        <v>452</v>
      </c>
      <c r="J5" s="8" t="s">
        <v>453</v>
      </c>
      <c r="K5" s="8" t="s">
        <v>454</v>
      </c>
      <c r="L5" s="8" t="s">
        <v>455</v>
      </c>
      <c r="M5" s="8" t="s">
        <v>456</v>
      </c>
    </row>
    <row r="6" customFormat="false" ht="15" hidden="false" customHeight="false" outlineLevel="0" collapsed="false">
      <c r="A6" s="9" t="s">
        <v>457</v>
      </c>
      <c r="B6" s="27" t="n">
        <v>52.0948770623986</v>
      </c>
      <c r="C6" s="27" t="n">
        <v>114.190171832591</v>
      </c>
      <c r="D6" s="24" t="n">
        <v>0.0002</v>
      </c>
      <c r="E6" s="24" t="n">
        <v>0.6109</v>
      </c>
      <c r="F6" s="24" t="n">
        <v>0.6332</v>
      </c>
      <c r="G6" s="24" t="n">
        <v>0.8103</v>
      </c>
      <c r="H6" s="24" t="n">
        <v>0.5395</v>
      </c>
      <c r="I6" s="24" t="n">
        <v>0.927362245</v>
      </c>
      <c r="J6" s="24" t="n">
        <v>0.564026475</v>
      </c>
      <c r="K6" s="24" t="n">
        <v>0.691885835</v>
      </c>
      <c r="L6" s="24" t="n">
        <v>0.778024255</v>
      </c>
      <c r="M6" s="24" t="n">
        <v>0.817582145</v>
      </c>
    </row>
    <row r="7" customFormat="false" ht="15" hidden="false" customHeight="false" outlineLevel="0" collapsed="false">
      <c r="A7" s="9" t="s">
        <v>458</v>
      </c>
      <c r="B7" s="27" t="n">
        <v>52.9127589115019</v>
      </c>
      <c r="C7" s="27" t="n">
        <v>116.606350102535</v>
      </c>
      <c r="D7" s="24" t="n">
        <v>0</v>
      </c>
      <c r="E7" s="24" t="n">
        <v>0.4906</v>
      </c>
      <c r="F7" s="24" t="n">
        <v>0.4826</v>
      </c>
      <c r="G7" s="24" t="n">
        <v>0.617</v>
      </c>
      <c r="H7" s="24" t="n">
        <v>0.3767</v>
      </c>
      <c r="I7" s="24" t="n">
        <v>0.927387565</v>
      </c>
      <c r="J7" s="24" t="n">
        <v>0.56375936</v>
      </c>
      <c r="K7" s="24" t="n">
        <v>0.690687375</v>
      </c>
      <c r="L7" s="24" t="n">
        <v>0.77744358</v>
      </c>
      <c r="M7" s="24" t="n">
        <v>0.81691135</v>
      </c>
    </row>
    <row r="8" customFormat="false" ht="15" hidden="false" customHeight="false" outlineLevel="0" collapsed="false">
      <c r="A8" s="9" t="s">
        <v>459</v>
      </c>
      <c r="B8" s="27" t="n">
        <v>54.2462619263441</v>
      </c>
      <c r="C8" s="27" t="n">
        <v>120.545771194836</v>
      </c>
      <c r="D8" s="24" t="n">
        <v>0</v>
      </c>
      <c r="E8" s="24" t="n">
        <v>0.2985</v>
      </c>
      <c r="F8" s="24" t="n">
        <v>0.267</v>
      </c>
      <c r="G8" s="24" t="n">
        <v>0.3386</v>
      </c>
      <c r="H8" s="24" t="n">
        <v>0.1743</v>
      </c>
      <c r="I8" s="24" t="n">
        <v>0.927536485</v>
      </c>
      <c r="J8" s="24" t="n">
        <v>0.563398575</v>
      </c>
      <c r="K8" s="24" t="n">
        <v>0.68938291</v>
      </c>
      <c r="L8" s="24" t="n">
        <v>0.777021195</v>
      </c>
      <c r="M8" s="24" t="n">
        <v>0.8162025</v>
      </c>
    </row>
    <row r="9" customFormat="false" ht="15" hidden="false" customHeight="false" outlineLevel="0" collapsed="false">
      <c r="A9" s="9" t="s">
        <v>460</v>
      </c>
      <c r="B9" s="27" t="n">
        <v>56.3417666639535</v>
      </c>
      <c r="C9" s="27" t="n">
        <v>126.736290054165</v>
      </c>
      <c r="D9" s="24" t="n">
        <v>0</v>
      </c>
      <c r="E9" s="24" t="n">
        <v>0.1333</v>
      </c>
      <c r="F9" s="24" t="n">
        <v>0.079</v>
      </c>
      <c r="G9" s="24" t="n">
        <v>0.1248</v>
      </c>
      <c r="H9" s="24" t="n">
        <v>0.0352</v>
      </c>
      <c r="I9" s="24" t="n">
        <v>0.927580995</v>
      </c>
      <c r="J9" s="24" t="n">
        <v>0.563872485</v>
      </c>
      <c r="K9" s="24" t="n">
        <v>0.688886</v>
      </c>
      <c r="L9" s="24" t="n">
        <v>0.777523965</v>
      </c>
      <c r="M9" s="24" t="n">
        <v>0.815968095</v>
      </c>
    </row>
    <row r="11" customFormat="false" ht="15" hidden="false" customHeight="false" outlineLevel="0" collapsed="false">
      <c r="A11" s="40" t="s">
        <v>461</v>
      </c>
    </row>
    <row r="12" customFormat="false" ht="45" hidden="false" customHeight="true" outlineLevel="0" collapsed="false">
      <c r="A12" s="8" t="s">
        <v>444</v>
      </c>
      <c r="B12" s="8" t="s">
        <v>445</v>
      </c>
      <c r="C12" s="8" t="s">
        <v>446</v>
      </c>
      <c r="D12" s="8" t="s">
        <v>447</v>
      </c>
      <c r="E12" s="8" t="s">
        <v>448</v>
      </c>
      <c r="F12" s="8" t="s">
        <v>449</v>
      </c>
      <c r="G12" s="8" t="s">
        <v>450</v>
      </c>
      <c r="H12" s="8" t="s">
        <v>451</v>
      </c>
      <c r="I12" s="8" t="s">
        <v>452</v>
      </c>
      <c r="J12" s="8" t="s">
        <v>453</v>
      </c>
      <c r="K12" s="8" t="s">
        <v>454</v>
      </c>
      <c r="L12" s="8" t="s">
        <v>455</v>
      </c>
      <c r="M12" s="8" t="s">
        <v>456</v>
      </c>
    </row>
    <row r="13" customFormat="false" ht="15" hidden="false" customHeight="false" outlineLevel="0" collapsed="false">
      <c r="A13" s="9" t="s">
        <v>457</v>
      </c>
      <c r="B13" s="27" t="n">
        <v>52.0948770623986</v>
      </c>
      <c r="C13" s="27" t="n">
        <v>114.190171832591</v>
      </c>
      <c r="D13" s="24" t="n">
        <v>0</v>
      </c>
      <c r="E13" s="24" t="n">
        <v>0.0419</v>
      </c>
      <c r="F13" s="24" t="n">
        <v>0.2561</v>
      </c>
      <c r="G13" s="24" t="n">
        <v>0.6118</v>
      </c>
      <c r="H13" s="24" t="n">
        <v>0.3492</v>
      </c>
      <c r="I13" s="24" t="n">
        <v>0.93748979</v>
      </c>
      <c r="J13" s="24" t="n">
        <v>0.71429005</v>
      </c>
      <c r="K13" s="24" t="n">
        <v>0.860920235</v>
      </c>
      <c r="L13" s="24" t="n">
        <v>0.93748979</v>
      </c>
      <c r="M13" s="24" t="n">
        <v>0.93748979</v>
      </c>
    </row>
    <row r="14" customFormat="false" ht="15" hidden="false" customHeight="false" outlineLevel="0" collapsed="false">
      <c r="A14" s="9" t="s">
        <v>458</v>
      </c>
      <c r="B14" s="27" t="n">
        <v>52.9127589115019</v>
      </c>
      <c r="C14" s="27" t="n">
        <v>116.606350102535</v>
      </c>
      <c r="D14" s="24" t="n">
        <v>0</v>
      </c>
      <c r="E14" s="24" t="n">
        <v>0.0149</v>
      </c>
      <c r="F14" s="24" t="n">
        <v>0.1304</v>
      </c>
      <c r="G14" s="24" t="n">
        <v>0.3575</v>
      </c>
      <c r="H14" s="24" t="n">
        <v>0.2103</v>
      </c>
      <c r="I14" s="24" t="n">
        <v>0.93748979</v>
      </c>
      <c r="J14" s="24" t="n">
        <v>0.71429005</v>
      </c>
      <c r="K14" s="24" t="n">
        <v>0.860920235</v>
      </c>
      <c r="L14" s="24" t="n">
        <v>0.93748979</v>
      </c>
      <c r="M14" s="24" t="n">
        <v>0.93748979</v>
      </c>
    </row>
    <row r="15" customFormat="false" ht="15" hidden="false" customHeight="false" outlineLevel="0" collapsed="false">
      <c r="A15" s="9" t="s">
        <v>459</v>
      </c>
      <c r="B15" s="27" t="n">
        <v>54.2462619263441</v>
      </c>
      <c r="C15" s="27" t="n">
        <v>120.545771194836</v>
      </c>
      <c r="D15" s="24" t="n">
        <v>0</v>
      </c>
      <c r="E15" s="24" t="n">
        <v>0.0031</v>
      </c>
      <c r="F15" s="24" t="n">
        <v>0.0378</v>
      </c>
      <c r="G15" s="24" t="n">
        <v>0.1023</v>
      </c>
      <c r="H15" s="24" t="n">
        <v>0.077</v>
      </c>
      <c r="I15" s="24" t="n">
        <v>0.93748979</v>
      </c>
      <c r="J15" s="24" t="n">
        <v>0.71429005</v>
      </c>
      <c r="K15" s="24" t="n">
        <v>0.860920235</v>
      </c>
      <c r="L15" s="24" t="n">
        <v>0.93748979</v>
      </c>
      <c r="M15" s="24" t="n">
        <v>0.93748979</v>
      </c>
    </row>
    <row r="16" customFormat="false" ht="15" hidden="false" customHeight="false" outlineLevel="0" collapsed="false">
      <c r="A16" s="9" t="s">
        <v>460</v>
      </c>
      <c r="B16" s="27" t="n">
        <v>56.3417666639535</v>
      </c>
      <c r="C16" s="27" t="n">
        <v>126.736290054165</v>
      </c>
      <c r="D16" s="24" t="n">
        <v>0</v>
      </c>
      <c r="E16" s="24" t="n">
        <v>0.0003</v>
      </c>
      <c r="F16" s="24" t="n">
        <v>0.0046</v>
      </c>
      <c r="G16" s="24" t="n">
        <v>0.0085</v>
      </c>
      <c r="H16" s="24" t="n">
        <v>0.0107</v>
      </c>
      <c r="I16" s="24" t="n">
        <v>0.93748979</v>
      </c>
      <c r="J16" s="24" t="n">
        <v>0.71429005</v>
      </c>
      <c r="K16" s="24" t="n">
        <v>0.860920235</v>
      </c>
      <c r="L16" s="24" t="n">
        <v>0.93748979</v>
      </c>
      <c r="M16" s="24" t="n">
        <v>0.93748979</v>
      </c>
    </row>
    <row r="18" customFormat="false" ht="15" hidden="false" customHeight="false" outlineLevel="0" collapsed="false">
      <c r="A18" s="7" t="s">
        <v>462</v>
      </c>
    </row>
  </sheetData>
  <conditionalFormatting sqref="D6:H9">
    <cfRule type="colorScale" priority="2">
      <colorScale>
        <cfvo type="num" val="0"/>
        <cfvo type="num" val="0.1"/>
        <cfvo type="num" val="1"/>
        <color rgb="FFE8F5E9"/>
        <color rgb="FFFFF3C4"/>
        <color rgb="FFF4B6B0"/>
      </colorScale>
    </cfRule>
  </conditionalFormatting>
  <conditionalFormatting sqref="D13:H16">
    <cfRule type="colorScale" priority="3">
      <colorScale>
        <cfvo type="num" val="0"/>
        <cfvo type="num" val="0.1"/>
        <cfvo type="num" val="1"/>
        <color rgb="FFE8F5E9"/>
        <color rgb="FFFFF3C4"/>
        <color rgb="FFF4B6B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5" min="3" style="0" width="34"/>
  </cols>
  <sheetData>
    <row r="1" customFormat="false" ht="17.35" hidden="false" customHeight="false" outlineLevel="0" collapsed="false">
      <c r="A1" s="6" t="s">
        <v>463</v>
      </c>
    </row>
    <row r="2" customFormat="false" ht="15" hidden="false" customHeight="false" outlineLevel="0" collapsed="false">
      <c r="A2" s="7" t="s">
        <v>464</v>
      </c>
    </row>
    <row r="4" customFormat="false" ht="15" hidden="false" customHeight="false" outlineLevel="0" collapsed="false">
      <c r="A4" s="40" t="s">
        <v>465</v>
      </c>
    </row>
    <row r="5" customFormat="false" ht="15" hidden="false" customHeight="false" outlineLevel="0" collapsed="false">
      <c r="A5" s="8" t="s">
        <v>466</v>
      </c>
      <c r="B5" s="42" t="s">
        <v>467</v>
      </c>
      <c r="C5" s="8" t="s">
        <v>468</v>
      </c>
      <c r="D5" s="8" t="s">
        <v>469</v>
      </c>
      <c r="E5" s="8" t="s">
        <v>470</v>
      </c>
    </row>
    <row r="6" customFormat="false" ht="15" hidden="false" customHeight="false" outlineLevel="0" collapsed="false">
      <c r="A6" s="43" t="s">
        <v>471</v>
      </c>
      <c r="B6" s="44" t="s">
        <v>472</v>
      </c>
      <c r="C6" s="36" t="s">
        <v>473</v>
      </c>
      <c r="D6" s="36" t="s">
        <v>474</v>
      </c>
      <c r="E6" s="36" t="s">
        <v>475</v>
      </c>
    </row>
    <row r="7" customFormat="false" ht="15" hidden="false" customHeight="false" outlineLevel="0" collapsed="false">
      <c r="A7" s="43" t="s">
        <v>476</v>
      </c>
      <c r="B7" s="44" t="s">
        <v>477</v>
      </c>
      <c r="C7" s="36" t="s">
        <v>478</v>
      </c>
      <c r="D7" s="36" t="s">
        <v>479</v>
      </c>
      <c r="E7" s="36" t="s">
        <v>480</v>
      </c>
    </row>
    <row r="8" customFormat="false" ht="15" hidden="false" customHeight="false" outlineLevel="0" collapsed="false">
      <c r="A8" s="43" t="s">
        <v>481</v>
      </c>
      <c r="B8" s="44" t="s">
        <v>482</v>
      </c>
      <c r="C8" s="36" t="s">
        <v>483</v>
      </c>
      <c r="D8" s="36" t="s">
        <v>484</v>
      </c>
      <c r="E8" s="36" t="s">
        <v>485</v>
      </c>
    </row>
    <row r="9" customFormat="false" ht="15" hidden="false" customHeight="false" outlineLevel="0" collapsed="false">
      <c r="A9" s="43" t="s">
        <v>486</v>
      </c>
      <c r="B9" s="44" t="s">
        <v>487</v>
      </c>
      <c r="C9" s="36" t="s">
        <v>488</v>
      </c>
      <c r="D9" s="36" t="s">
        <v>489</v>
      </c>
      <c r="E9" s="36" t="s">
        <v>490</v>
      </c>
    </row>
    <row r="10" customFormat="false" ht="23.85" hidden="false" customHeight="false" outlineLevel="0" collapsed="false">
      <c r="A10" s="43" t="s">
        <v>491</v>
      </c>
      <c r="B10" s="44" t="s">
        <v>492</v>
      </c>
      <c r="C10" s="36" t="s">
        <v>493</v>
      </c>
      <c r="D10" s="36" t="s">
        <v>494</v>
      </c>
      <c r="E10" s="36" t="s">
        <v>495</v>
      </c>
    </row>
    <row r="11" customFormat="false" ht="15" hidden="false" customHeight="false" outlineLevel="0" collapsed="false">
      <c r="A11" s="43" t="s">
        <v>496</v>
      </c>
      <c r="B11" s="44" t="s">
        <v>497</v>
      </c>
      <c r="C11" s="36" t="s">
        <v>498</v>
      </c>
      <c r="D11" s="36" t="s">
        <v>499</v>
      </c>
      <c r="E11" s="36" t="s">
        <v>500</v>
      </c>
    </row>
    <row r="12" customFormat="false" ht="15" hidden="false" customHeight="false" outlineLevel="0" collapsed="false">
      <c r="A12" s="43" t="s">
        <v>501</v>
      </c>
      <c r="B12" s="44" t="s">
        <v>502</v>
      </c>
      <c r="C12" s="36" t="s">
        <v>503</v>
      </c>
      <c r="D12" s="36" t="s">
        <v>504</v>
      </c>
      <c r="E12" s="36" t="s">
        <v>505</v>
      </c>
    </row>
    <row r="13" customFormat="false" ht="15" hidden="false" customHeight="false" outlineLevel="0" collapsed="false">
      <c r="A13" s="43" t="s">
        <v>506</v>
      </c>
      <c r="B13" s="44" t="s">
        <v>507</v>
      </c>
      <c r="C13" s="36" t="s">
        <v>508</v>
      </c>
      <c r="D13" s="36" t="s">
        <v>509</v>
      </c>
      <c r="E13" s="36" t="s">
        <v>510</v>
      </c>
    </row>
    <row r="14" customFormat="false" ht="15" hidden="false" customHeight="false" outlineLevel="0" collapsed="false">
      <c r="A14" s="43" t="s">
        <v>511</v>
      </c>
      <c r="B14" s="44" t="s">
        <v>512</v>
      </c>
      <c r="C14" s="36" t="s">
        <v>513</v>
      </c>
      <c r="D14" s="36" t="s">
        <v>514</v>
      </c>
      <c r="E14" s="36" t="s">
        <v>514</v>
      </c>
    </row>
    <row r="16" customFormat="false" ht="15" hidden="false" customHeight="false" outlineLevel="0" collapsed="false">
      <c r="A16" s="40" t="s">
        <v>515</v>
      </c>
    </row>
    <row r="17" customFormat="false" ht="15" hidden="false" customHeight="false" outlineLevel="0" collapsed="false">
      <c r="A17" s="8" t="s">
        <v>39</v>
      </c>
      <c r="B17" s="8" t="s">
        <v>516</v>
      </c>
      <c r="C17" s="8" t="s">
        <v>517</v>
      </c>
      <c r="D17" s="8" t="s">
        <v>518</v>
      </c>
      <c r="E17" s="8" t="s">
        <v>519</v>
      </c>
    </row>
    <row r="18" customFormat="false" ht="15" hidden="false" customHeight="false" outlineLevel="0" collapsed="false">
      <c r="A18" s="28" t="s">
        <v>520</v>
      </c>
      <c r="B18" s="45" t="n">
        <f aca="false">Cotisation!C29</f>
        <v>52.0948770623986</v>
      </c>
      <c r="C18" s="46" t="n">
        <v>22</v>
      </c>
      <c r="D18" s="46" t="n">
        <v>10</v>
      </c>
      <c r="E18" s="47" t="n">
        <f aca="false">B18/C18-1</f>
        <v>1.36794895738175</v>
      </c>
    </row>
    <row r="19" customFormat="false" ht="15" hidden="false" customHeight="false" outlineLevel="0" collapsed="false">
      <c r="A19" s="28" t="s">
        <v>521</v>
      </c>
      <c r="B19" s="45" t="n">
        <f aca="false">Cotisation!D29</f>
        <v>114.190171832591</v>
      </c>
      <c r="C19" s="46" t="n">
        <v>110</v>
      </c>
      <c r="D19" s="46" t="n">
        <v>88</v>
      </c>
      <c r="E19" s="47" t="n">
        <f aca="false">B19/C19-1</f>
        <v>0.0380924712053721</v>
      </c>
    </row>
    <row r="20" customFormat="false" ht="15" hidden="false" customHeight="false" outlineLevel="0" collapsed="false">
      <c r="A20" s="7" t="s">
        <v>522</v>
      </c>
    </row>
    <row r="22" customFormat="false" ht="15" hidden="false" customHeight="false" outlineLevel="0" collapsed="false">
      <c r="A22" s="40" t="s">
        <v>523</v>
      </c>
    </row>
    <row r="23" customFormat="false" ht="15" hidden="false" customHeight="false" outlineLevel="0" collapsed="false">
      <c r="A23" s="8" t="s">
        <v>524</v>
      </c>
      <c r="B23" s="8" t="s">
        <v>525</v>
      </c>
      <c r="C23" s="8" t="s">
        <v>526</v>
      </c>
    </row>
    <row r="24" customFormat="false" ht="90" hidden="false" customHeight="true" outlineLevel="0" collapsed="false">
      <c r="A24" s="43" t="s">
        <v>527</v>
      </c>
      <c r="B24" s="36" t="s">
        <v>528</v>
      </c>
      <c r="C24" s="36" t="s">
        <v>529</v>
      </c>
      <c r="D24" s="36"/>
      <c r="E24" s="36"/>
    </row>
    <row r="25" customFormat="false" ht="90" hidden="false" customHeight="true" outlineLevel="0" collapsed="false">
      <c r="A25" s="43" t="s">
        <v>530</v>
      </c>
      <c r="B25" s="36" t="s">
        <v>531</v>
      </c>
      <c r="C25" s="36" t="s">
        <v>532</v>
      </c>
      <c r="D25" s="36"/>
      <c r="E25" s="36"/>
    </row>
    <row r="27" customFormat="false" ht="15" hidden="false" customHeight="false" outlineLevel="0" collapsed="false">
      <c r="A27" s="40" t="s">
        <v>533</v>
      </c>
    </row>
    <row r="28" customFormat="false" ht="31.5" hidden="false" customHeight="true" outlineLevel="0" collapsed="false">
      <c r="A28" s="48" t="s">
        <v>534</v>
      </c>
      <c r="B28" s="49" t="s">
        <v>535</v>
      </c>
      <c r="C28" s="49"/>
      <c r="D28" s="49"/>
      <c r="E28" s="49"/>
    </row>
    <row r="29" customFormat="false" ht="31.5" hidden="false" customHeight="true" outlineLevel="0" collapsed="false">
      <c r="A29" s="48" t="s">
        <v>536</v>
      </c>
      <c r="B29" s="49" t="s">
        <v>537</v>
      </c>
      <c r="C29" s="49"/>
      <c r="D29" s="49"/>
      <c r="E29" s="49"/>
    </row>
    <row r="30" customFormat="false" ht="31.5" hidden="false" customHeight="true" outlineLevel="0" collapsed="false">
      <c r="A30" s="48" t="s">
        <v>538</v>
      </c>
      <c r="B30" s="49" t="s">
        <v>539</v>
      </c>
      <c r="C30" s="49"/>
      <c r="D30" s="49"/>
      <c r="E30" s="49"/>
    </row>
    <row r="31" customFormat="false" ht="31.5" hidden="false" customHeight="true" outlineLevel="0" collapsed="false">
      <c r="A31" s="48" t="s">
        <v>540</v>
      </c>
      <c r="B31" s="49" t="s">
        <v>541</v>
      </c>
      <c r="C31" s="49"/>
      <c r="D31" s="49"/>
      <c r="E31" s="49"/>
    </row>
    <row r="32" customFormat="false" ht="31.5" hidden="false" customHeight="true" outlineLevel="0" collapsed="false">
      <c r="A32" s="48" t="s">
        <v>542</v>
      </c>
      <c r="B32" s="49" t="s">
        <v>543</v>
      </c>
      <c r="C32" s="49"/>
      <c r="D32" s="49"/>
      <c r="E32" s="49"/>
    </row>
    <row r="34" customFormat="false" ht="15" hidden="false" customHeight="false" outlineLevel="0" collapsed="false">
      <c r="A34" s="40" t="s">
        <v>544</v>
      </c>
    </row>
    <row r="35" customFormat="false" ht="15" hidden="false" customHeight="false" outlineLevel="0" collapsed="false">
      <c r="A35" s="8" t="s">
        <v>545</v>
      </c>
      <c r="B35" s="8" t="s">
        <v>546</v>
      </c>
    </row>
    <row r="36" customFormat="false" ht="31.5" hidden="false" customHeight="true" outlineLevel="0" collapsed="false">
      <c r="A36" s="43" t="s">
        <v>547</v>
      </c>
      <c r="B36" s="36" t="s">
        <v>548</v>
      </c>
      <c r="C36" s="36"/>
      <c r="D36" s="36"/>
      <c r="E36" s="36"/>
    </row>
    <row r="37" customFormat="false" ht="31.5" hidden="false" customHeight="true" outlineLevel="0" collapsed="false">
      <c r="A37" s="43" t="s">
        <v>549</v>
      </c>
      <c r="B37" s="36" t="s">
        <v>550</v>
      </c>
      <c r="C37" s="36"/>
      <c r="D37" s="36"/>
      <c r="E37" s="36"/>
    </row>
    <row r="38" customFormat="false" ht="31.5" hidden="false" customHeight="true" outlineLevel="0" collapsed="false">
      <c r="A38" s="43" t="s">
        <v>551</v>
      </c>
      <c r="B38" s="36" t="s">
        <v>552</v>
      </c>
      <c r="C38" s="36"/>
      <c r="D38" s="36"/>
      <c r="E38" s="36"/>
    </row>
    <row r="39" customFormat="false" ht="31.5" hidden="false" customHeight="true" outlineLevel="0" collapsed="false">
      <c r="A39" s="43" t="s">
        <v>553</v>
      </c>
      <c r="B39" s="36" t="s">
        <v>554</v>
      </c>
      <c r="C39" s="36"/>
      <c r="D39" s="36"/>
      <c r="E39" s="36"/>
    </row>
    <row r="40" customFormat="false" ht="31.5" hidden="false" customHeight="true" outlineLevel="0" collapsed="false">
      <c r="A40" s="43" t="s">
        <v>555</v>
      </c>
      <c r="B40" s="36" t="s">
        <v>556</v>
      </c>
      <c r="C40" s="36"/>
      <c r="D40" s="36"/>
      <c r="E40" s="36"/>
    </row>
  </sheetData>
  <mergeCells count="12">
    <mergeCell ref="C24:E24"/>
    <mergeCell ref="C25:E25"/>
    <mergeCell ref="B28:E28"/>
    <mergeCell ref="B29:E29"/>
    <mergeCell ref="B30:E30"/>
    <mergeCell ref="B31:E31"/>
    <mergeCell ref="B32:E32"/>
    <mergeCell ref="B36:E36"/>
    <mergeCell ref="B37:E37"/>
    <mergeCell ref="B38:E38"/>
    <mergeCell ref="B39:E39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9" min="8" style="0" width="30"/>
  </cols>
  <sheetData>
    <row r="1" customFormat="false" ht="17.35" hidden="false" customHeight="false" outlineLevel="0" collapsed="false">
      <c r="A1" s="6" t="s">
        <v>557</v>
      </c>
    </row>
    <row r="2" customFormat="false" ht="15" hidden="false" customHeight="false" outlineLevel="0" collapsed="false">
      <c r="A2" s="7" t="s">
        <v>558</v>
      </c>
    </row>
    <row r="4" customFormat="false" ht="30" hidden="false" customHeight="true" outlineLevel="0" collapsed="false">
      <c r="A4" s="8" t="s">
        <v>559</v>
      </c>
      <c r="B4" s="8" t="s">
        <v>23</v>
      </c>
      <c r="C4" s="8" t="s">
        <v>560</v>
      </c>
      <c r="D4" s="8" t="s">
        <v>561</v>
      </c>
      <c r="E4" s="8" t="s">
        <v>562</v>
      </c>
      <c r="F4" s="8" t="s">
        <v>563</v>
      </c>
      <c r="G4" s="8" t="s">
        <v>564</v>
      </c>
      <c r="H4" s="8" t="s">
        <v>565</v>
      </c>
      <c r="I4" s="8" t="s">
        <v>566</v>
      </c>
    </row>
    <row r="5" customFormat="false" ht="23.85" hidden="false" customHeight="false" outlineLevel="0" collapsed="false">
      <c r="A5" s="36" t="n">
        <v>1</v>
      </c>
      <c r="B5" s="36" t="s">
        <v>567</v>
      </c>
      <c r="C5" s="43" t="s">
        <v>568</v>
      </c>
      <c r="D5" s="36" t="s">
        <v>569</v>
      </c>
      <c r="E5" s="36" t="s">
        <v>570</v>
      </c>
      <c r="F5" s="50"/>
      <c r="G5" s="51"/>
      <c r="H5" s="50"/>
      <c r="I5" s="50"/>
    </row>
    <row r="6" customFormat="false" ht="23.85" hidden="false" customHeight="false" outlineLevel="0" collapsed="false">
      <c r="A6" s="36" t="n">
        <v>1</v>
      </c>
      <c r="B6" s="36" t="s">
        <v>567</v>
      </c>
      <c r="C6" s="43" t="s">
        <v>571</v>
      </c>
      <c r="D6" s="36" t="s">
        <v>572</v>
      </c>
      <c r="E6" s="36" t="s">
        <v>573</v>
      </c>
      <c r="F6" s="50"/>
      <c r="G6" s="51"/>
      <c r="H6" s="50"/>
      <c r="I6" s="50"/>
    </row>
    <row r="7" customFormat="false" ht="23.85" hidden="false" customHeight="false" outlineLevel="0" collapsed="false">
      <c r="A7" s="36" t="n">
        <v>1</v>
      </c>
      <c r="B7" s="36" t="s">
        <v>574</v>
      </c>
      <c r="C7" s="43" t="s">
        <v>575</v>
      </c>
      <c r="D7" s="36" t="s">
        <v>576</v>
      </c>
      <c r="E7" s="36" t="s">
        <v>577</v>
      </c>
      <c r="F7" s="50"/>
      <c r="G7" s="51"/>
      <c r="H7" s="50"/>
      <c r="I7" s="50"/>
    </row>
    <row r="8" customFormat="false" ht="23.85" hidden="false" customHeight="false" outlineLevel="0" collapsed="false">
      <c r="A8" s="36" t="n">
        <v>2</v>
      </c>
      <c r="B8" s="36" t="s">
        <v>578</v>
      </c>
      <c r="C8" s="43" t="s">
        <v>579</v>
      </c>
      <c r="D8" s="36" t="s">
        <v>580</v>
      </c>
      <c r="E8" s="36" t="s">
        <v>581</v>
      </c>
      <c r="F8" s="50"/>
      <c r="G8" s="51"/>
      <c r="H8" s="50"/>
      <c r="I8" s="50"/>
    </row>
    <row r="9" customFormat="false" ht="23.85" hidden="false" customHeight="false" outlineLevel="0" collapsed="false">
      <c r="A9" s="36" t="n">
        <v>2</v>
      </c>
      <c r="B9" s="36" t="s">
        <v>582</v>
      </c>
      <c r="C9" s="43" t="s">
        <v>583</v>
      </c>
      <c r="D9" s="36" t="s">
        <v>584</v>
      </c>
      <c r="E9" s="36" t="s">
        <v>585</v>
      </c>
      <c r="F9" s="50"/>
      <c r="G9" s="51"/>
      <c r="H9" s="50"/>
      <c r="I9" s="50"/>
    </row>
    <row r="10" customFormat="false" ht="23.85" hidden="false" customHeight="false" outlineLevel="0" collapsed="false">
      <c r="A10" s="36" t="n">
        <v>3</v>
      </c>
      <c r="B10" s="36" t="s">
        <v>574</v>
      </c>
      <c r="C10" s="43" t="s">
        <v>586</v>
      </c>
      <c r="D10" s="36" t="s">
        <v>587</v>
      </c>
      <c r="E10" s="36" t="s">
        <v>588</v>
      </c>
      <c r="F10" s="50"/>
      <c r="G10" s="51"/>
      <c r="H10" s="50"/>
      <c r="I10" s="50"/>
    </row>
    <row r="11" customFormat="false" ht="23.85" hidden="false" customHeight="false" outlineLevel="0" collapsed="false">
      <c r="A11" s="36" t="n">
        <v>4</v>
      </c>
      <c r="B11" s="36" t="s">
        <v>589</v>
      </c>
      <c r="C11" s="43" t="s">
        <v>590</v>
      </c>
      <c r="D11" s="36" t="s">
        <v>591</v>
      </c>
      <c r="E11" s="36" t="s">
        <v>592</v>
      </c>
      <c r="F11" s="50"/>
      <c r="G11" s="51"/>
      <c r="H11" s="50"/>
      <c r="I11" s="50"/>
    </row>
    <row r="12" customFormat="false" ht="23.85" hidden="false" customHeight="false" outlineLevel="0" collapsed="false">
      <c r="A12" s="36" t="n">
        <v>4</v>
      </c>
      <c r="B12" s="36" t="s">
        <v>593</v>
      </c>
      <c r="C12" s="43" t="s">
        <v>594</v>
      </c>
      <c r="D12" s="36" t="s">
        <v>595</v>
      </c>
      <c r="E12" s="36" t="s">
        <v>596</v>
      </c>
      <c r="F12" s="50"/>
      <c r="G12" s="51"/>
      <c r="H12" s="50"/>
      <c r="I12" s="50"/>
    </row>
    <row r="13" customFormat="false" ht="23.85" hidden="false" customHeight="false" outlineLevel="0" collapsed="false">
      <c r="A13" s="36" t="n">
        <v>5</v>
      </c>
      <c r="B13" s="36" t="s">
        <v>597</v>
      </c>
      <c r="C13" s="43" t="s">
        <v>598</v>
      </c>
      <c r="D13" s="36" t="s">
        <v>599</v>
      </c>
      <c r="E13" s="36" t="s">
        <v>600</v>
      </c>
      <c r="F13" s="50"/>
      <c r="G13" s="51"/>
      <c r="H13" s="50"/>
      <c r="I13" s="50"/>
    </row>
    <row r="14" customFormat="false" ht="15" hidden="false" customHeight="false" outlineLevel="0" collapsed="false">
      <c r="A14" s="36" t="n">
        <v>5</v>
      </c>
      <c r="B14" s="36" t="s">
        <v>601</v>
      </c>
      <c r="C14" s="43" t="s">
        <v>602</v>
      </c>
      <c r="D14" s="36" t="s">
        <v>603</v>
      </c>
      <c r="E14" s="36" t="s">
        <v>604</v>
      </c>
      <c r="F14" s="50"/>
      <c r="G14" s="51"/>
      <c r="H14" s="50"/>
      <c r="I14" s="50"/>
    </row>
    <row r="15" customFormat="false" ht="15" hidden="false" customHeight="false" outlineLevel="0" collapsed="false">
      <c r="A15" s="36" t="s">
        <v>503</v>
      </c>
      <c r="B15" s="36" t="s">
        <v>578</v>
      </c>
      <c r="C15" s="43" t="s">
        <v>605</v>
      </c>
      <c r="D15" s="36" t="s">
        <v>606</v>
      </c>
      <c r="E15" s="36" t="s">
        <v>607</v>
      </c>
      <c r="F15" s="50"/>
      <c r="G15" s="51"/>
      <c r="H15" s="50"/>
      <c r="I15" s="50"/>
    </row>
    <row r="16" customFormat="false" ht="15" hidden="false" customHeight="false" outlineLevel="0" collapsed="false">
      <c r="A16" s="36" t="s">
        <v>503</v>
      </c>
      <c r="B16" s="36" t="s">
        <v>578</v>
      </c>
      <c r="C16" s="43" t="s">
        <v>608</v>
      </c>
      <c r="D16" s="36" t="s">
        <v>606</v>
      </c>
      <c r="E16" s="36" t="s">
        <v>609</v>
      </c>
      <c r="F16" s="50"/>
      <c r="G16" s="51"/>
      <c r="H16" s="50"/>
      <c r="I16" s="50"/>
    </row>
    <row r="17" customFormat="false" ht="23.85" hidden="false" customHeight="false" outlineLevel="0" collapsed="false">
      <c r="A17" s="36" t="s">
        <v>503</v>
      </c>
      <c r="B17" s="36" t="s">
        <v>578</v>
      </c>
      <c r="C17" s="43" t="s">
        <v>610</v>
      </c>
      <c r="D17" s="36" t="s">
        <v>611</v>
      </c>
      <c r="E17" s="36" t="s">
        <v>612</v>
      </c>
      <c r="F17" s="50"/>
      <c r="G17" s="51"/>
      <c r="H17" s="50"/>
      <c r="I17" s="50"/>
    </row>
    <row r="18" customFormat="false" ht="15" hidden="false" customHeight="false" outlineLevel="0" collapsed="false">
      <c r="A18" s="36" t="s">
        <v>503</v>
      </c>
      <c r="B18" s="36" t="s">
        <v>582</v>
      </c>
      <c r="C18" s="43" t="s">
        <v>613</v>
      </c>
      <c r="D18" s="36" t="s">
        <v>614</v>
      </c>
      <c r="E18" s="36" t="s">
        <v>615</v>
      </c>
      <c r="F18" s="50"/>
      <c r="G18" s="51"/>
      <c r="H18" s="50"/>
      <c r="I18" s="50"/>
    </row>
    <row r="19" customFormat="false" ht="15" hidden="false" customHeight="false" outlineLevel="0" collapsed="false">
      <c r="A19" s="36" t="s">
        <v>503</v>
      </c>
      <c r="B19" s="36" t="s">
        <v>582</v>
      </c>
      <c r="C19" s="43" t="s">
        <v>616</v>
      </c>
      <c r="D19" s="36" t="s">
        <v>617</v>
      </c>
      <c r="E19" s="36" t="s">
        <v>618</v>
      </c>
      <c r="F19" s="50"/>
      <c r="G19" s="51"/>
      <c r="H19" s="50"/>
      <c r="I19" s="50"/>
    </row>
    <row r="20" customFormat="false" ht="15" hidden="false" customHeight="false" outlineLevel="0" collapsed="false">
      <c r="A20" s="36" t="s">
        <v>503</v>
      </c>
      <c r="B20" s="36" t="s">
        <v>593</v>
      </c>
      <c r="C20" s="43" t="s">
        <v>619</v>
      </c>
      <c r="D20" s="36" t="s">
        <v>620</v>
      </c>
      <c r="E20" s="36" t="s">
        <v>621</v>
      </c>
      <c r="F20" s="50"/>
      <c r="G20" s="51"/>
      <c r="H20" s="50"/>
      <c r="I20" s="50"/>
    </row>
    <row r="22" customFormat="false" ht="15" hidden="false" customHeight="false" outlineLevel="0" collapsed="false">
      <c r="A22" s="7" t="s">
        <v>622</v>
      </c>
      <c r="C22" s="7" t="s">
        <v>623</v>
      </c>
      <c r="F22" s="52" t="s">
        <v>624</v>
      </c>
      <c r="G22" s="52" t="s">
        <v>625</v>
      </c>
      <c r="H22" s="52" t="s">
        <v>626</v>
      </c>
      <c r="I22" s="52" t="s">
        <v>627</v>
      </c>
    </row>
  </sheetData>
  <autoFilter ref="A4:I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2026-09-22T22:13:10Z</dcterms:created>
  <dc:creator>openpyxl</dc:creator>
  <dc:description/>
  <dc:language>en-US</dc:language>
  <cp:lastModifiedBy/>
  <dcterms:modified xsi:type="dcterms:W3CDTF">2026-09-22T22:13:10Z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